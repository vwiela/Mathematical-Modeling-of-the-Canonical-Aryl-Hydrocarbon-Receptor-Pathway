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AhRR Fold Change" sheetId="1" state="visible" r:id="rId3"/>
    <sheet name="Cyp1a1 fold change" sheetId="2" state="visible" r:id="rId4"/>
    <sheet name="BMM Kinetics" sheetId="3" state="visible" r:id="rId5"/>
    <sheet name="AhRR BPA fold change" sheetId="4" state="visible" r:id="rId6"/>
    <sheet name="Cyp1a1 BPA fold change" sheetId="5" state="visible" r:id="rId7"/>
    <sheet name="BpA inhibition 4h treatment" sheetId="6" state="visible" r:id="rId8"/>
    <sheet name="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<sst xmlns="http://schemas.openxmlformats.org/spreadsheetml/2006/main" count="227" uniqueCount="60">
  <si>
    <t xml:space="preserve">Relative change (2^-ΔCt)</t>
  </si>
  <si>
    <t xml:space="preserve">dmso / control</t>
  </si>
  <si>
    <t xml:space="preserve">Fold Change</t>
  </si>
  <si>
    <t xml:space="preserve">3MC</t>
  </si>
  <si>
    <t xml:space="preserve">ICZ</t>
  </si>
  <si>
    <t xml:space="preserve">BpA</t>
  </si>
  <si>
    <t xml:space="preserve">each cell represent 2^(-ΔCt) from 1 experiment </t>
  </si>
  <si>
    <t xml:space="preserve">&lt;- relative change</t>
  </si>
  <si>
    <t xml:space="preserve">Fold change was calculated as </t>
  </si>
  <si>
    <t xml:space="preserve">rel. change of treatment / rel. change of control</t>
  </si>
  <si>
    <t xml:space="preserve">Timepoint (h)</t>
  </si>
  <si>
    <t xml:space="preserve">Fold change</t>
  </si>
  <si>
    <t xml:space="preserve">Cyp1a1</t>
  </si>
  <si>
    <t xml:space="preserve">dmso</t>
  </si>
  <si>
    <t xml:space="preserve">Conc. substances</t>
  </si>
  <si>
    <t xml:space="preserve">1 µM 3MC</t>
  </si>
  <si>
    <t xml:space="preserve">0,000705</t>
  </si>
  <si>
    <t xml:space="preserve">1 µM FICZ</t>
  </si>
  <si>
    <t xml:space="preserve">10 µM ICZ</t>
  </si>
  <si>
    <t xml:space="preserve">1µM BpA</t>
  </si>
  <si>
    <t xml:space="preserve">AhRR</t>
  </si>
  <si>
    <t xml:space="preserve">Treatment</t>
  </si>
  <si>
    <t xml:space="preserve">2^(-ΔCt)</t>
  </si>
  <si>
    <t xml:space="preserve">1BpA</t>
  </si>
  <si>
    <t xml:space="preserve">1BpA + 3MC</t>
  </si>
  <si>
    <t xml:space="preserve">1 BpA + ICZ</t>
  </si>
  <si>
    <t xml:space="preserve">each cell represents 2^(-ΔCt) from 1 experiment </t>
  </si>
  <si>
    <t xml:space="preserve">Timepoint</t>
  </si>
  <si>
    <t xml:space="preserve">FICZ</t>
  </si>
  <si>
    <t xml:space="preserve">1 BpA + FICZ</t>
  </si>
  <si>
    <t xml:space="preserve">4h</t>
  </si>
  <si>
    <t xml:space="preserve">dmso_1</t>
  </si>
  <si>
    <t xml:space="preserve">dmso_3</t>
  </si>
  <si>
    <t xml:space="preserve">3MC_1</t>
  </si>
  <si>
    <t xml:space="preserve">3MC_2</t>
  </si>
  <si>
    <t xml:space="preserve">3MC_3</t>
  </si>
  <si>
    <t xml:space="preserve">ICZ_1</t>
  </si>
  <si>
    <t xml:space="preserve">ICZ_2</t>
  </si>
  <si>
    <t xml:space="preserve">ICZ_3</t>
  </si>
  <si>
    <t xml:space="preserve">BpA_1</t>
  </si>
  <si>
    <t xml:space="preserve">BpA_2</t>
  </si>
  <si>
    <t xml:space="preserve">BpA_3</t>
  </si>
  <si>
    <t xml:space="preserve">FC_Cyp1a1</t>
  </si>
  <si>
    <t xml:space="preserve">FC_AhRR</t>
  </si>
  <si>
    <t xml:space="preserve">Heike-Cyp1a1</t>
  </si>
  <si>
    <t xml:space="preserve">3MC_4</t>
  </si>
  <si>
    <t xml:space="preserve">3MC_5</t>
  </si>
  <si>
    <t xml:space="preserve">3MC_6</t>
  </si>
  <si>
    <t xml:space="preserve">3MC_7</t>
  </si>
  <si>
    <t xml:space="preserve">ICZ_4</t>
  </si>
  <si>
    <t xml:space="preserve">ICZ_5</t>
  </si>
  <si>
    <t xml:space="preserve">ICZ_6</t>
  </si>
  <si>
    <t xml:space="preserve">ICZ_7</t>
  </si>
  <si>
    <t xml:space="preserve">BpA_4</t>
  </si>
  <si>
    <t xml:space="preserve">BpA_5</t>
  </si>
  <si>
    <t xml:space="preserve">BpA_6</t>
  </si>
  <si>
    <t xml:space="preserve">BpA_7</t>
  </si>
  <si>
    <t xml:space="preserve">Heike-AhRR</t>
  </si>
  <si>
    <t xml:space="preserve">All-Cyp1a1</t>
  </si>
  <si>
    <t xml:space="preserve">All-AhRR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</si>
</sst>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</font>
    <font>
      <i val="true"/>
      <sz val="10"/>
      <color rgb="FF0000FF"/>
      <name val="Arial"/>
      <family val="2"/>
      <charset val="1"/>
    </font>
    <font>
      <i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F0D9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472805933250927"/>
          <c:y val="0.036270582999555"/>
          <c:w val="0.748377626699629"/>
          <c:h val="0.864931019136627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'AhRR Fold Change'!$J$11:$J$16</c:f>
              <c:numCache>
                <c:formatCode>General</c:formatCode>
                <c:ptCount val="6"/>
                <c:pt idx="0">
                  <c:v>1.82791586998088</c:v>
                </c:pt>
                <c:pt idx="1">
                  <c:v>4.65762394761459</c:v>
                </c:pt>
                <c:pt idx="2">
                  <c:v>6.72622377622378</c:v>
                </c:pt>
                <c:pt idx="3">
                  <c:v>5.42740740740741</c:v>
                </c:pt>
                <c:pt idx="4">
                  <c:v>2.83083176985616</c:v>
                </c:pt>
                <c:pt idx="5">
                  <c:v>2.12874101250931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'AhRR Fold Change'!$K$11:$K$16</c:f>
              <c:numCache>
                <c:formatCode>General</c:formatCode>
                <c:ptCount val="6"/>
                <c:pt idx="0">
                  <c:v>1.86604938271605</c:v>
                </c:pt>
                <c:pt idx="1">
                  <c:v>8.51150442477876</c:v>
                </c:pt>
                <c:pt idx="2">
                  <c:v>3.13804633389061</c:v>
                </c:pt>
                <c:pt idx="3">
                  <c:v>3.36892880904857</c:v>
                </c:pt>
                <c:pt idx="4">
                  <c:v>1.73756067961165</c:v>
                </c:pt>
                <c:pt idx="5">
                  <c:v>1.85317581651769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'AhRR Fold Change'!$L$11:$L$16</c:f>
              <c:numCache>
                <c:formatCode>General</c:formatCode>
                <c:ptCount val="6"/>
                <c:pt idx="0">
                  <c:v>1.65932452276065</c:v>
                </c:pt>
                <c:pt idx="1">
                  <c:v>8.46296296296296</c:v>
                </c:pt>
                <c:pt idx="2">
                  <c:v>4.22770167427702</c:v>
                </c:pt>
                <c:pt idx="3">
                  <c:v>3.42021758839529</c:v>
                </c:pt>
                <c:pt idx="4">
                  <c:v>2.28374100719424</c:v>
                </c:pt>
                <c:pt idx="5">
                  <c:v>3.01049431355409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966315"/>
        <c:axId val="43680573"/>
      </c:lineChart>
      <c:catAx>
        <c:axId val="6096631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3680573"/>
        <c:crosses val="autoZero"/>
        <c:auto val="1"/>
        <c:lblAlgn val="ctr"/>
        <c:lblOffset val="100"/>
        <c:noMultiLvlLbl val="0"/>
      </c:catAx>
      <c:valAx>
        <c:axId val="436805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096631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'AhRR Fold Change'!$J$27:$J$32</c:f>
              <c:numCache>
                <c:formatCode>General</c:formatCode>
                <c:ptCount val="6"/>
                <c:pt idx="0">
                  <c:v>0.994263862332696</c:v>
                </c:pt>
                <c:pt idx="1">
                  <c:v>0.817586529466791</c:v>
                </c:pt>
                <c:pt idx="2">
                  <c:v>0.287062937062937</c:v>
                </c:pt>
                <c:pt idx="3">
                  <c:v>1.90888888888889</c:v>
                </c:pt>
                <c:pt idx="4">
                  <c:v>0.768292682926829</c:v>
                </c:pt>
                <c:pt idx="5">
                  <c:v>0.532185369289801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'AhRR Fold Change'!$K$27:$K$32</c:f>
              <c:numCache>
                <c:formatCode>General</c:formatCode>
                <c:ptCount val="6"/>
                <c:pt idx="0">
                  <c:v>1.15679012345679</c:v>
                </c:pt>
                <c:pt idx="1">
                  <c:v>1.19646017699115</c:v>
                </c:pt>
                <c:pt idx="2">
                  <c:v>1.9859087652257</c:v>
                </c:pt>
                <c:pt idx="3">
                  <c:v>1.5731869594145</c:v>
                </c:pt>
                <c:pt idx="4">
                  <c:v>1.04550970873786</c:v>
                </c:pt>
                <c:pt idx="5">
                  <c:v>0.742261648851218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'AhRR Fold Change'!$L$27:$L$32</c:f>
              <c:numCache>
                <c:formatCode>General</c:formatCode>
                <c:ptCount val="6"/>
                <c:pt idx="0">
                  <c:v>1.16446402349486</c:v>
                </c:pt>
                <c:pt idx="1">
                  <c:v>1.60493827160494</c:v>
                </c:pt>
                <c:pt idx="2">
                  <c:v>2.20365296803653</c:v>
                </c:pt>
                <c:pt idx="3">
                  <c:v>1.62012692656392</c:v>
                </c:pt>
                <c:pt idx="4">
                  <c:v>1.97122302158273</c:v>
                </c:pt>
                <c:pt idx="5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326140"/>
        <c:axId val="11586984"/>
      </c:lineChart>
      <c:catAx>
        <c:axId val="163261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1586984"/>
        <c:crosses val="autoZero"/>
        <c:auto val="1"/>
        <c:lblAlgn val="ctr"/>
        <c:lblOffset val="100"/>
        <c:noMultiLvlLbl val="0"/>
      </c:catAx>
      <c:valAx>
        <c:axId val="115869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632614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'Cyp1a1 fold change'!$J$12:$J$17</c:f>
              <c:numCache>
                <c:formatCode>General</c:formatCode>
                <c:ptCount val="6"/>
                <c:pt idx="0">
                  <c:v>4.94652406417112</c:v>
                </c:pt>
                <c:pt idx="1">
                  <c:v>16</c:v>
                </c:pt>
                <c:pt idx="2">
                  <c:v>12.5242718446602</c:v>
                </c:pt>
                <c:pt idx="3">
                  <c:v>14.2663043478261</c:v>
                </c:pt>
                <c:pt idx="4">
                  <c:v>28.1134401972873</c:v>
                </c:pt>
                <c:pt idx="5">
                  <c:v>7.31064431991554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'Cyp1a1 fold change'!$K$12:$K$17</c:f>
              <c:numCache>
                <c:formatCode>General</c:formatCode>
                <c:ptCount val="6"/>
                <c:pt idx="0">
                  <c:v>20.6334841628959</c:v>
                </c:pt>
                <c:pt idx="1">
                  <c:v>15.5727554179567</c:v>
                </c:pt>
                <c:pt idx="2">
                  <c:v>10.6382978723404</c:v>
                </c:pt>
                <c:pt idx="3">
                  <c:v>6.55601659751037</c:v>
                </c:pt>
                <c:pt idx="4">
                  <c:v>8.66894197952218</c:v>
                </c:pt>
                <c:pt idx="5">
                  <c:v>3.58010079798404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'Cyp1a1 fold change'!$L$12:$L$17</c:f>
              <c:numCache>
                <c:formatCode>General</c:formatCode>
                <c:ptCount val="6"/>
                <c:pt idx="0">
                  <c:v>13.248031496063</c:v>
                </c:pt>
                <c:pt idx="1">
                  <c:v>13.9269406392694</c:v>
                </c:pt>
                <c:pt idx="2">
                  <c:v>5.05970149253731</c:v>
                </c:pt>
                <c:pt idx="3">
                  <c:v>2.14473684210526</c:v>
                </c:pt>
                <c:pt idx="4">
                  <c:v>6.78244972577697</c:v>
                </c:pt>
                <c:pt idx="5">
                  <c:v>3.50641856352243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289287"/>
        <c:axId val="32858960"/>
      </c:lineChart>
      <c:catAx>
        <c:axId val="5228928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2858960"/>
        <c:crosses val="autoZero"/>
        <c:auto val="1"/>
        <c:lblAlgn val="ctr"/>
        <c:lblOffset val="100"/>
        <c:noMultiLvlLbl val="0"/>
      </c:catAx>
      <c:valAx>
        <c:axId val="328589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228928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'Cyp1a1 fold change'!$J$29:$J$34</c:f>
              <c:numCache>
                <c:formatCode>General</c:formatCode>
                <c:ptCount val="6"/>
                <c:pt idx="0">
                  <c:v>0.893048128342246</c:v>
                </c:pt>
                <c:pt idx="1">
                  <c:v>0.940540540540541</c:v>
                </c:pt>
                <c:pt idx="2">
                  <c:v>2.15533980582524</c:v>
                </c:pt>
                <c:pt idx="3">
                  <c:v>3.31521739130435</c:v>
                </c:pt>
                <c:pt idx="4">
                  <c:v>1.30702836004932</c:v>
                </c:pt>
                <c:pt idx="5">
                  <c:v>0.92018741092345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'Cyp1a1 fold change'!$K$29:$K$34</c:f>
              <c:numCache>
                <c:formatCode>General</c:formatCode>
                <c:ptCount val="6"/>
                <c:pt idx="0">
                  <c:v>3.38009049773756</c:v>
                </c:pt>
                <c:pt idx="1">
                  <c:v>0.325077399380805</c:v>
                </c:pt>
                <c:pt idx="2">
                  <c:v>3.7152209492635</c:v>
                </c:pt>
                <c:pt idx="3">
                  <c:v>0.268879668049793</c:v>
                </c:pt>
                <c:pt idx="4">
                  <c:v>0.805460750853242</c:v>
                </c:pt>
                <c:pt idx="5">
                  <c:v>0.166085678286434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'Cyp1a1 fold change'!$L$29:$L$34</c:f>
              <c:numCache>
                <c:formatCode>General</c:formatCode>
                <c:ptCount val="6"/>
                <c:pt idx="0">
                  <c:v>1.6003937007874</c:v>
                </c:pt>
                <c:pt idx="1">
                  <c:v>0.486301369863014</c:v>
                </c:pt>
                <c:pt idx="2">
                  <c:v>1.14626865671642</c:v>
                </c:pt>
                <c:pt idx="3">
                  <c:v>0.153947368421053</c:v>
                </c:pt>
                <c:pt idx="4">
                  <c:v>1.86471663619744</c:v>
                </c:pt>
                <c:pt idx="5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641701"/>
        <c:axId val="68326164"/>
      </c:lineChart>
      <c:catAx>
        <c:axId val="556417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8326164"/>
        <c:crosses val="autoZero"/>
        <c:auto val="1"/>
        <c:lblAlgn val="ctr"/>
        <c:lblOffset val="100"/>
        <c:noMultiLvlLbl val="0"/>
      </c:catAx>
      <c:valAx>
        <c:axId val="683261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564170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138240</xdr:colOff>
      <xdr:row>4</xdr:row>
      <xdr:rowOff>142920</xdr:rowOff>
    </xdr:from>
    <xdr:to>
      <xdr:col>26</xdr:col>
      <xdr:colOff>579600</xdr:colOff>
      <xdr:row>22</xdr:row>
      <xdr:rowOff>120600</xdr:rowOff>
    </xdr:to>
    <xdr:graphicFrame>
      <xdr:nvGraphicFramePr>
        <xdr:cNvPr id="1" name=""/>
        <xdr:cNvGraphicFramePr/>
      </xdr:nvGraphicFramePr>
      <xdr:xfrm>
        <a:off x="11588040" y="866880"/>
        <a:ext cx="465948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59040</xdr:colOff>
      <xdr:row>27</xdr:row>
      <xdr:rowOff>162000</xdr:rowOff>
    </xdr:from>
    <xdr:to>
      <xdr:col>26</xdr:col>
      <xdr:colOff>500400</xdr:colOff>
      <xdr:row>45</xdr:row>
      <xdr:rowOff>139680</xdr:rowOff>
    </xdr:to>
    <xdr:graphicFrame>
      <xdr:nvGraphicFramePr>
        <xdr:cNvPr id="2" name=""/>
        <xdr:cNvGraphicFramePr/>
      </xdr:nvGraphicFramePr>
      <xdr:xfrm>
        <a:off x="11508840" y="5048280"/>
        <a:ext cx="465948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392040</xdr:colOff>
      <xdr:row>3</xdr:row>
      <xdr:rowOff>14400</xdr:rowOff>
    </xdr:from>
    <xdr:to>
      <xdr:col>26</xdr:col>
      <xdr:colOff>72720</xdr:colOff>
      <xdr:row>20</xdr:row>
      <xdr:rowOff>174240</xdr:rowOff>
    </xdr:to>
    <xdr:graphicFrame>
      <xdr:nvGraphicFramePr>
        <xdr:cNvPr id="3" name=""/>
        <xdr:cNvGraphicFramePr/>
      </xdr:nvGraphicFramePr>
      <xdr:xfrm>
        <a:off x="11470320" y="557280"/>
        <a:ext cx="4501440" cy="32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561960</xdr:colOff>
      <xdr:row>26</xdr:row>
      <xdr:rowOff>60840</xdr:rowOff>
    </xdr:from>
    <xdr:to>
      <xdr:col>26</xdr:col>
      <xdr:colOff>240480</xdr:colOff>
      <xdr:row>44</xdr:row>
      <xdr:rowOff>37800</xdr:rowOff>
    </xdr:to>
    <xdr:graphicFrame>
      <xdr:nvGraphicFramePr>
        <xdr:cNvPr id="4" name=""/>
        <xdr:cNvGraphicFramePr/>
      </xdr:nvGraphicFramePr>
      <xdr:xfrm>
        <a:off x="11640240" y="4766040"/>
        <a:ext cx="4499280" cy="323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P14" activeCellId="0" sqref="P14"/>
    </sheetView>
  </sheetViews>
  <sheetFormatPr defaultColWidth="8.55078125" defaultRowHeight="14.25" customHeight="false" zeroHeight="false" outlineLevelRow="0" outlineLevelCol="0"/>
  <cols>
    <col collapsed="false" customWidth="true" hidden="false" outlineLevel="0" max="16384" min="16384" style="1" width="11.53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A2" s="3"/>
      <c r="B2" s="4" t="s">
        <v>1</v>
      </c>
      <c r="C2" s="4"/>
      <c r="D2" s="4"/>
      <c r="E2" s="4"/>
      <c r="F2" s="4"/>
      <c r="G2" s="4"/>
      <c r="H2" s="4"/>
      <c r="I2" s="2" t="s">
        <v>2</v>
      </c>
      <c r="J2" s="2"/>
      <c r="K2" s="2"/>
      <c r="L2" s="2"/>
      <c r="M2" s="2"/>
      <c r="N2" s="2"/>
      <c r="O2" s="2"/>
    </row>
    <row r="3" customFormat="false" ht="14.25" hidden="false" customHeight="false" outlineLevel="0" collapsed="false">
      <c r="A3" s="3" t="n">
        <v>2</v>
      </c>
      <c r="B3" s="5" t="n">
        <v>0.000523</v>
      </c>
      <c r="C3" s="6" t="n">
        <v>0.00162</v>
      </c>
      <c r="D3" s="6" t="n">
        <v>0.000681</v>
      </c>
      <c r="E3" s="6" t="n">
        <v>0.001076</v>
      </c>
      <c r="F3" s="6"/>
      <c r="G3" s="6"/>
      <c r="H3" s="7"/>
      <c r="O3" s="1" t="n">
        <f aca="false">(B3+C3+D3)/3</f>
        <v>0.000941333333333333</v>
      </c>
    </row>
    <row r="4" customFormat="false" ht="14.25" hidden="false" customHeight="false" outlineLevel="0" collapsed="false">
      <c r="A4" s="3" t="n">
        <v>3</v>
      </c>
      <c r="B4" s="8" t="n">
        <v>0.001069</v>
      </c>
      <c r="C4" s="9" t="n">
        <v>0.000565</v>
      </c>
      <c r="D4" s="9" t="n">
        <v>0.000162</v>
      </c>
      <c r="E4" s="9" t="n">
        <v>0.001298</v>
      </c>
      <c r="F4" s="9"/>
      <c r="G4" s="9"/>
      <c r="H4" s="10"/>
      <c r="O4" s="1" t="n">
        <f aca="false">(B4+C4+D4)/3</f>
        <v>0.000598666666666667</v>
      </c>
    </row>
    <row r="5" customFormat="false" ht="14.25" hidden="false" customHeight="false" outlineLevel="0" collapsed="false">
      <c r="A5" s="3" t="n">
        <v>4</v>
      </c>
      <c r="B5" s="8" t="n">
        <v>0.00286</v>
      </c>
      <c r="C5" s="9" t="n">
        <v>0.004187</v>
      </c>
      <c r="D5" s="9" t="n">
        <v>0.003285</v>
      </c>
      <c r="E5" s="9" t="n">
        <v>0.001785</v>
      </c>
      <c r="F5" s="9" t="n">
        <v>0.003151</v>
      </c>
      <c r="G5" s="9" t="n">
        <v>0.001194</v>
      </c>
      <c r="H5" s="10" t="n">
        <v>0.001289</v>
      </c>
      <c r="O5" s="1" t="n">
        <f aca="false">(B5+C5+D5)/3</f>
        <v>0.003444</v>
      </c>
    </row>
    <row r="6" customFormat="false" ht="14.25" hidden="false" customHeight="false" outlineLevel="0" collapsed="false">
      <c r="A6" s="3" t="n">
        <v>6</v>
      </c>
      <c r="B6" s="8" t="n">
        <v>0.00135</v>
      </c>
      <c r="C6" s="9" t="n">
        <v>0.003006</v>
      </c>
      <c r="D6" s="9" t="n">
        <v>0.004412</v>
      </c>
      <c r="E6" s="9"/>
      <c r="F6" s="9"/>
      <c r="G6" s="9"/>
      <c r="H6" s="10"/>
      <c r="O6" s="1" t="n">
        <f aca="false">(B6+C6+D6)/3</f>
        <v>0.00292266666666667</v>
      </c>
    </row>
    <row r="7" customFormat="false" ht="14.25" hidden="false" customHeight="false" outlineLevel="0" collapsed="false">
      <c r="A7" s="3" t="n">
        <v>8</v>
      </c>
      <c r="B7" s="8" t="n">
        <v>0.003198</v>
      </c>
      <c r="C7" s="9" t="n">
        <v>0.003296</v>
      </c>
      <c r="D7" s="9" t="n">
        <v>0.003475</v>
      </c>
      <c r="E7" s="9"/>
      <c r="F7" s="9"/>
      <c r="G7" s="9"/>
      <c r="H7" s="10"/>
      <c r="O7" s="1" t="n">
        <f aca="false">(B7+C7+D7)/3</f>
        <v>0.003323</v>
      </c>
    </row>
    <row r="8" customFormat="false" ht="14.25" hidden="false" customHeight="false" outlineLevel="0" collapsed="false">
      <c r="A8" s="3" t="n">
        <v>24</v>
      </c>
      <c r="B8" s="11" t="n">
        <v>0.002152158</v>
      </c>
      <c r="C8" s="12" t="n">
        <v>0.001288582</v>
      </c>
      <c r="D8" s="12" t="n">
        <v>0.000904871</v>
      </c>
      <c r="E8" s="12"/>
      <c r="F8" s="12"/>
      <c r="G8" s="12"/>
      <c r="H8" s="13"/>
      <c r="O8" s="1" t="n">
        <f aca="false">(B8+C8+D8)/3</f>
        <v>0.001448537</v>
      </c>
    </row>
    <row r="10" customFormat="false" ht="14.25" hidden="false" customHeight="false" outlineLevel="0" collapsed="false">
      <c r="B10" s="4" t="s">
        <v>3</v>
      </c>
      <c r="C10" s="4"/>
      <c r="D10" s="4"/>
      <c r="E10" s="4"/>
      <c r="F10" s="4"/>
      <c r="G10" s="4"/>
      <c r="H10" s="4"/>
    </row>
    <row r="11" customFormat="false" ht="14.25" hidden="false" customHeight="false" outlineLevel="0" collapsed="false">
      <c r="A11" s="3" t="n">
        <v>2</v>
      </c>
      <c r="B11" s="5" t="n">
        <v>0.000956</v>
      </c>
      <c r="C11" s="6" t="n">
        <v>0.003023</v>
      </c>
      <c r="D11" s="6" t="n">
        <v>0.00113</v>
      </c>
      <c r="E11" s="6" t="n">
        <v>0.003285</v>
      </c>
      <c r="F11" s="6"/>
      <c r="G11" s="6"/>
      <c r="H11" s="7"/>
      <c r="J11" s="1" t="n">
        <f aca="false">B11/B3</f>
        <v>1.82791586998088</v>
      </c>
      <c r="K11" s="1" t="n">
        <f aca="false">C11/C3</f>
        <v>1.86604938271605</v>
      </c>
      <c r="L11" s="1" t="n">
        <f aca="false">D11/D3</f>
        <v>1.65932452276065</v>
      </c>
      <c r="M11" s="1"/>
    </row>
    <row r="12" customFormat="false" ht="14.25" hidden="false" customHeight="false" outlineLevel="0" collapsed="false">
      <c r="A12" s="3" t="n">
        <v>3</v>
      </c>
      <c r="B12" s="8" t="n">
        <v>0.004979</v>
      </c>
      <c r="C12" s="9" t="n">
        <v>0.004809</v>
      </c>
      <c r="D12" s="9" t="n">
        <v>0.001371</v>
      </c>
      <c r="E12" s="9" t="n">
        <v>0.008669</v>
      </c>
      <c r="F12" s="9"/>
      <c r="G12" s="9"/>
      <c r="H12" s="10"/>
      <c r="J12" s="1" t="n">
        <f aca="false">B12/B4</f>
        <v>4.65762394761459</v>
      </c>
      <c r="K12" s="1" t="n">
        <f aca="false">C12/C4</f>
        <v>8.51150442477876</v>
      </c>
      <c r="L12" s="1" t="n">
        <f aca="false">D12/D4</f>
        <v>8.46296296296296</v>
      </c>
      <c r="M12" s="1"/>
    </row>
    <row r="13" customFormat="false" ht="14.25" hidden="false" customHeight="false" outlineLevel="0" collapsed="false">
      <c r="A13" s="3" t="n">
        <v>4</v>
      </c>
      <c r="B13" s="8" t="n">
        <v>0.019237</v>
      </c>
      <c r="C13" s="9" t="n">
        <v>0.013139</v>
      </c>
      <c r="D13" s="9" t="n">
        <v>0.013888</v>
      </c>
      <c r="E13" s="9" t="n">
        <v>0.011842</v>
      </c>
      <c r="F13" s="9" t="n">
        <v>0.005448</v>
      </c>
      <c r="G13" s="9" t="n">
        <v>0.010453</v>
      </c>
      <c r="H13" s="10" t="n">
        <v>0.007759</v>
      </c>
      <c r="J13" s="1" t="n">
        <f aca="false">B13/B5</f>
        <v>6.72622377622378</v>
      </c>
      <c r="K13" s="1" t="n">
        <f aca="false">C13/C5</f>
        <v>3.13804633389061</v>
      </c>
      <c r="L13" s="1" t="n">
        <f aca="false">D13/D5</f>
        <v>4.22770167427702</v>
      </c>
      <c r="M13" s="1"/>
      <c r="N13" s="1"/>
      <c r="O13" s="1"/>
      <c r="P13" s="1"/>
    </row>
    <row r="14" customFormat="false" ht="14.25" hidden="false" customHeight="false" outlineLevel="0" collapsed="false">
      <c r="A14" s="3" t="n">
        <v>6</v>
      </c>
      <c r="B14" s="8" t="n">
        <v>0.007327</v>
      </c>
      <c r="C14" s="9" t="n">
        <v>0.010127</v>
      </c>
      <c r="D14" s="9" t="n">
        <v>0.01509</v>
      </c>
      <c r="E14" s="9"/>
      <c r="F14" s="9"/>
      <c r="G14" s="9"/>
      <c r="H14" s="10"/>
      <c r="J14" s="1" t="n">
        <f aca="false">B14/B6</f>
        <v>5.42740740740741</v>
      </c>
      <c r="K14" s="1" t="n">
        <f aca="false">C14/C6</f>
        <v>3.36892880904857</v>
      </c>
      <c r="L14" s="1" t="n">
        <f aca="false">D14/D6</f>
        <v>3.42021758839529</v>
      </c>
    </row>
    <row r="15" customFormat="false" ht="14.25" hidden="false" customHeight="false" outlineLevel="0" collapsed="false">
      <c r="A15" s="3" t="n">
        <v>8</v>
      </c>
      <c r="B15" s="8" t="n">
        <v>0.009053</v>
      </c>
      <c r="C15" s="9" t="n">
        <v>0.005727</v>
      </c>
      <c r="D15" s="9" t="n">
        <v>0.007936</v>
      </c>
      <c r="E15" s="9"/>
      <c r="F15" s="9"/>
      <c r="G15" s="9"/>
      <c r="H15" s="10"/>
      <c r="J15" s="1" t="n">
        <f aca="false">B15/B7</f>
        <v>2.83083176985616</v>
      </c>
      <c r="K15" s="1" t="n">
        <f aca="false">C15/C7</f>
        <v>1.73756067961165</v>
      </c>
      <c r="L15" s="1" t="n">
        <f aca="false">D15/D7</f>
        <v>2.28374100719424</v>
      </c>
    </row>
    <row r="16" customFormat="false" ht="14.25" hidden="false" customHeight="false" outlineLevel="0" collapsed="false">
      <c r="A16" s="3" t="n">
        <v>24</v>
      </c>
      <c r="B16" s="11" t="n">
        <v>0.004581387</v>
      </c>
      <c r="C16" s="12" t="n">
        <v>0.002387969</v>
      </c>
      <c r="D16" s="12" t="n">
        <v>0.002724109</v>
      </c>
      <c r="E16" s="12"/>
      <c r="F16" s="12"/>
      <c r="G16" s="12"/>
      <c r="H16" s="13"/>
      <c r="J16" s="1" t="n">
        <f aca="false">B16/B8</f>
        <v>2.12874101250931</v>
      </c>
      <c r="K16" s="1" t="n">
        <f aca="false">C16/C8</f>
        <v>1.85317581651769</v>
      </c>
      <c r="L16" s="1" t="n">
        <f aca="false">D16/D8</f>
        <v>3.01049431355409</v>
      </c>
    </row>
    <row r="18" customFormat="false" ht="14.25" hidden="false" customHeight="false" outlineLevel="0" collapsed="false">
      <c r="B18" s="4" t="s">
        <v>4</v>
      </c>
      <c r="C18" s="4"/>
      <c r="D18" s="4"/>
      <c r="E18" s="4"/>
      <c r="F18" s="4"/>
      <c r="G18" s="4"/>
      <c r="H18" s="4"/>
    </row>
    <row r="19" customFormat="false" ht="14.25" hidden="false" customHeight="false" outlineLevel="0" collapsed="false">
      <c r="A19" s="3" t="n">
        <v>2</v>
      </c>
      <c r="B19" s="5" t="n">
        <v>0.001575</v>
      </c>
      <c r="C19" s="6" t="n">
        <v>0.004304</v>
      </c>
      <c r="D19" s="6" t="n">
        <v>0.002705</v>
      </c>
      <c r="E19" s="6" t="n">
        <v>0.004979</v>
      </c>
      <c r="F19" s="6"/>
      <c r="G19" s="6"/>
      <c r="H19" s="7"/>
      <c r="J19" s="1" t="n">
        <f aca="false">B19/B3</f>
        <v>3.01147227533461</v>
      </c>
      <c r="K19" s="1" t="n">
        <f aca="false">C19/C3</f>
        <v>2.65679012345679</v>
      </c>
      <c r="L19" s="1" t="n">
        <f aca="false">D19/D3</f>
        <v>3.97209985315712</v>
      </c>
      <c r="M19" s="1"/>
    </row>
    <row r="20" customFormat="false" ht="14.25" hidden="false" customHeight="false" outlineLevel="0" collapsed="false">
      <c r="A20" s="3" t="n">
        <v>3</v>
      </c>
      <c r="B20" s="8" t="n">
        <v>0.004979</v>
      </c>
      <c r="C20" s="9" t="n">
        <v>0.004044</v>
      </c>
      <c r="D20" s="9" t="n">
        <v>0.001631</v>
      </c>
      <c r="E20" s="9" t="n">
        <v>0.01016673</v>
      </c>
      <c r="F20" s="9"/>
      <c r="G20" s="9"/>
      <c r="H20" s="10"/>
      <c r="J20" s="1" t="n">
        <f aca="false">B20/B4</f>
        <v>4.65762394761459</v>
      </c>
      <c r="K20" s="1" t="n">
        <f aca="false">C20/C4</f>
        <v>7.15752212389381</v>
      </c>
      <c r="L20" s="1" t="n">
        <f aca="false">D20/D4</f>
        <v>10.0679012345679</v>
      </c>
      <c r="M20" s="1"/>
    </row>
    <row r="21" customFormat="false" ht="14.25" hidden="false" customHeight="false" outlineLevel="0" collapsed="false">
      <c r="A21" s="3" t="n">
        <v>4</v>
      </c>
      <c r="B21" s="8" t="n">
        <v>0.025033</v>
      </c>
      <c r="C21" s="9" t="n">
        <v>0.025559</v>
      </c>
      <c r="D21" s="9" t="n">
        <v>0.022561</v>
      </c>
      <c r="E21" s="9" t="n">
        <v>0.01388817</v>
      </c>
      <c r="F21" s="9" t="n">
        <v>0.004645</v>
      </c>
      <c r="G21" s="9" t="n">
        <v>0.007239</v>
      </c>
      <c r="H21" s="10" t="n">
        <v>0.007442</v>
      </c>
      <c r="J21" s="1" t="n">
        <f aca="false">B21/B5</f>
        <v>8.7527972027972</v>
      </c>
      <c r="K21" s="1" t="n">
        <f aca="false">C21/C5</f>
        <v>6.10437067112491</v>
      </c>
      <c r="L21" s="1" t="n">
        <f aca="false">D21/D5</f>
        <v>6.86788432267884</v>
      </c>
      <c r="M21" s="1"/>
      <c r="N21" s="1"/>
      <c r="O21" s="1"/>
      <c r="P21" s="1"/>
    </row>
    <row r="22" customFormat="false" ht="14.25" hidden="false" customHeight="false" outlineLevel="0" collapsed="false">
      <c r="A22" s="3" t="n">
        <v>6</v>
      </c>
      <c r="B22" s="8" t="n">
        <v>0.005083</v>
      </c>
      <c r="C22" s="9" t="n">
        <v>0.007793</v>
      </c>
      <c r="D22" s="9" t="n">
        <v>0.017941</v>
      </c>
      <c r="E22" s="9"/>
      <c r="F22" s="9"/>
      <c r="G22" s="9"/>
      <c r="H22" s="10"/>
      <c r="J22" s="1" t="n">
        <f aca="false">B22/B6</f>
        <v>3.76518518518518</v>
      </c>
      <c r="K22" s="1" t="n">
        <f aca="false">C22/C6</f>
        <v>2.59248170326015</v>
      </c>
      <c r="L22" s="1" t="n">
        <f aca="false">D22/D6</f>
        <v>4.06640979147779</v>
      </c>
    </row>
    <row r="23" customFormat="false" ht="14.25" hidden="false" customHeight="false" outlineLevel="0" collapsed="false">
      <c r="A23" s="3" t="n">
        <v>8</v>
      </c>
      <c r="B23" s="8" t="n">
        <v>0.003972</v>
      </c>
      <c r="C23" s="9" t="n">
        <v>0.006481</v>
      </c>
      <c r="D23" s="9" t="n">
        <v>0.008426</v>
      </c>
      <c r="E23" s="9"/>
      <c r="F23" s="9"/>
      <c r="G23" s="9"/>
      <c r="H23" s="10"/>
      <c r="J23" s="1" t="n">
        <f aca="false">B23/B7</f>
        <v>1.24202626641651</v>
      </c>
      <c r="K23" s="1" t="n">
        <f aca="false">C23/C7</f>
        <v>1.96632281553398</v>
      </c>
      <c r="L23" s="1" t="n">
        <f aca="false">D23/D7</f>
        <v>2.42474820143885</v>
      </c>
    </row>
    <row r="24" customFormat="false" ht="14.25" hidden="false" customHeight="false" outlineLevel="0" collapsed="false">
      <c r="A24" s="3" t="n">
        <v>24</v>
      </c>
      <c r="B24" s="11" t="n">
        <v>0.004215735</v>
      </c>
      <c r="C24" s="12" t="n">
        <v>0.002649618</v>
      </c>
      <c r="D24" s="12" t="n">
        <v>0.00289946</v>
      </c>
      <c r="E24" s="12"/>
      <c r="F24" s="12"/>
      <c r="G24" s="12"/>
      <c r="H24" s="13"/>
      <c r="J24" s="1" t="n">
        <f aca="false">B24/B8</f>
        <v>1.95884084718687</v>
      </c>
      <c r="K24" s="1" t="n">
        <f aca="false">C24/C8</f>
        <v>2.05622769835369</v>
      </c>
      <c r="L24" s="1" t="n">
        <f aca="false">D24/D8</f>
        <v>3.20427994708638</v>
      </c>
    </row>
    <row r="26" customFormat="false" ht="14.25" hidden="false" customHeight="false" outlineLevel="0" collapsed="false">
      <c r="B26" s="4" t="s">
        <v>5</v>
      </c>
      <c r="C26" s="4"/>
      <c r="D26" s="4"/>
      <c r="E26" s="4"/>
      <c r="F26" s="4"/>
      <c r="G26" s="4"/>
      <c r="H26" s="4"/>
    </row>
    <row r="27" customFormat="false" ht="14.25" hidden="false" customHeight="false" outlineLevel="0" collapsed="false">
      <c r="A27" s="3" t="n">
        <v>2</v>
      </c>
      <c r="B27" s="5" t="n">
        <v>0.00052</v>
      </c>
      <c r="C27" s="6" t="n">
        <v>0.001874</v>
      </c>
      <c r="D27" s="6" t="n">
        <v>0.000793</v>
      </c>
      <c r="E27" s="6" t="n">
        <v>0.00182233</v>
      </c>
      <c r="F27" s="6"/>
      <c r="G27" s="6"/>
      <c r="H27" s="7"/>
      <c r="J27" s="1" t="n">
        <f aca="false">B27/B3</f>
        <v>0.994263862332696</v>
      </c>
      <c r="K27" s="1" t="n">
        <f aca="false">C27/C3</f>
        <v>1.15679012345679</v>
      </c>
      <c r="L27" s="1" t="n">
        <f aca="false">D27/D3</f>
        <v>1.16446402349486</v>
      </c>
      <c r="M27" s="1"/>
    </row>
    <row r="28" customFormat="false" ht="14.25" hidden="false" customHeight="false" outlineLevel="0" collapsed="false">
      <c r="A28" s="3" t="n">
        <v>3</v>
      </c>
      <c r="B28" s="8" t="n">
        <v>0.000874</v>
      </c>
      <c r="C28" s="9" t="n">
        <v>0.000676</v>
      </c>
      <c r="D28" s="9" t="n">
        <v>0.00026</v>
      </c>
      <c r="E28" s="9" t="n">
        <v>0.001245</v>
      </c>
      <c r="F28" s="9"/>
      <c r="G28" s="9"/>
      <c r="H28" s="10"/>
      <c r="J28" s="1" t="n">
        <f aca="false">B28/B4</f>
        <v>0.817586529466791</v>
      </c>
      <c r="K28" s="1" t="n">
        <f aca="false">C28/C4</f>
        <v>1.19646017699115</v>
      </c>
      <c r="L28" s="1" t="n">
        <f aca="false">D28/D4</f>
        <v>1.60493827160494</v>
      </c>
      <c r="M28" s="1"/>
    </row>
    <row r="29" customFormat="false" ht="14.25" hidden="false" customHeight="false" outlineLevel="0" collapsed="false">
      <c r="A29" s="3" t="n">
        <v>4</v>
      </c>
      <c r="B29" s="8" t="n">
        <v>0.000821</v>
      </c>
      <c r="C29" s="9" t="n">
        <v>0.008315</v>
      </c>
      <c r="D29" s="9" t="n">
        <v>0.007239</v>
      </c>
      <c r="E29" s="9" t="n">
        <v>0.003044</v>
      </c>
      <c r="F29" s="9" t="n">
        <v>0.0041</v>
      </c>
      <c r="G29" s="9" t="n">
        <v>0.000924</v>
      </c>
      <c r="H29" s="10" t="n">
        <v>0.001785</v>
      </c>
      <c r="J29" s="1" t="n">
        <f aca="false">B29/B5</f>
        <v>0.287062937062937</v>
      </c>
      <c r="K29" s="1" t="n">
        <f aca="false">C29/C5</f>
        <v>1.9859087652257</v>
      </c>
      <c r="L29" s="1" t="n">
        <f aca="false">D29/D5</f>
        <v>2.20365296803653</v>
      </c>
      <c r="M29" s="1"/>
      <c r="N29" s="1"/>
      <c r="O29" s="1"/>
      <c r="P29" s="1"/>
    </row>
    <row r="30" customFormat="false" ht="14.25" hidden="false" customHeight="false" outlineLevel="0" collapsed="false">
      <c r="A30" s="3" t="n">
        <v>6</v>
      </c>
      <c r="B30" s="8" t="n">
        <v>0.002577</v>
      </c>
      <c r="C30" s="9" t="n">
        <v>0.004729</v>
      </c>
      <c r="D30" s="9" t="n">
        <v>0.007148</v>
      </c>
      <c r="E30" s="9"/>
      <c r="F30" s="9"/>
      <c r="G30" s="9"/>
      <c r="H30" s="10"/>
      <c r="J30" s="1" t="n">
        <f aca="false">B30/B6</f>
        <v>1.90888888888889</v>
      </c>
      <c r="K30" s="1" t="n">
        <f aca="false">C30/C6</f>
        <v>1.5731869594145</v>
      </c>
      <c r="L30" s="1" t="n">
        <f aca="false">D30/D6</f>
        <v>1.62012692656392</v>
      </c>
    </row>
    <row r="31" customFormat="false" ht="14.25" hidden="false" customHeight="false" outlineLevel="0" collapsed="false">
      <c r="A31" s="3" t="n">
        <v>8</v>
      </c>
      <c r="B31" s="8" t="n">
        <v>0.002457</v>
      </c>
      <c r="C31" s="9" t="n">
        <v>0.003446</v>
      </c>
      <c r="D31" s="9" t="n">
        <v>0.00685</v>
      </c>
      <c r="E31" s="9"/>
      <c r="F31" s="9"/>
      <c r="G31" s="9"/>
      <c r="H31" s="10"/>
      <c r="J31" s="1" t="n">
        <f aca="false">B31/B7</f>
        <v>0.768292682926829</v>
      </c>
      <c r="K31" s="1" t="n">
        <f aca="false">C31/C7</f>
        <v>1.04550970873786</v>
      </c>
      <c r="L31" s="1" t="n">
        <f aca="false">D31/D7</f>
        <v>1.97122302158273</v>
      </c>
    </row>
    <row r="32" customFormat="false" ht="14.25" hidden="false" customHeight="false" outlineLevel="0" collapsed="false">
      <c r="A32" s="3" t="n">
        <v>24</v>
      </c>
      <c r="B32" s="11" t="n">
        <v>0.001145347</v>
      </c>
      <c r="C32" s="12" t="n">
        <v>0.000956465</v>
      </c>
      <c r="D32" s="12" t="n">
        <v>0</v>
      </c>
      <c r="E32" s="12"/>
      <c r="F32" s="12"/>
      <c r="G32" s="12"/>
      <c r="H32" s="13"/>
      <c r="J32" s="1" t="n">
        <f aca="false">B32/B8</f>
        <v>0.532185369289801</v>
      </c>
      <c r="K32" s="1" t="n">
        <f aca="false">C32/C8</f>
        <v>0.742261648851218</v>
      </c>
      <c r="L32" s="1" t="n">
        <f aca="false">D32/D8</f>
        <v>0</v>
      </c>
    </row>
    <row r="36" customFormat="false" ht="14.25" hidden="false" customHeight="false" outlineLevel="0" collapsed="false">
      <c r="A36" s="1" t="s">
        <v>6</v>
      </c>
      <c r="F36" s="1" t="s">
        <v>7</v>
      </c>
    </row>
    <row r="37" customFormat="false" ht="14.25" hidden="false" customHeight="false" outlineLevel="0" collapsed="false">
      <c r="A37" s="1" t="s">
        <v>8</v>
      </c>
    </row>
    <row r="38" customFormat="false" ht="14.25" hidden="false" customHeight="false" outlineLevel="0" collapsed="false">
      <c r="A38" s="1" t="s">
        <v>9</v>
      </c>
    </row>
  </sheetData>
  <mergeCells count="6">
    <mergeCell ref="B1:H1"/>
    <mergeCell ref="B2:H2"/>
    <mergeCell ref="I2:O2"/>
    <mergeCell ref="B10:H10"/>
    <mergeCell ref="B18:H18"/>
    <mergeCell ref="B26:H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7" activeCellId="0" sqref="D7"/>
    </sheetView>
  </sheetViews>
  <sheetFormatPr defaultColWidth="8.55078125" defaultRowHeight="14.25" customHeight="false" zeroHeight="false" outlineLevelRow="0" outlineLevelCol="0"/>
  <cols>
    <col collapsed="false" customWidth="true" hidden="false" outlineLevel="0" max="4" min="4" style="14" width="11.83"/>
    <col collapsed="false" customWidth="true" hidden="false" outlineLevel="0" max="16384" min="16382" style="1" width="11.53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A2" s="15" t="s">
        <v>10</v>
      </c>
      <c r="B2" s="4" t="s">
        <v>1</v>
      </c>
      <c r="C2" s="4"/>
      <c r="D2" s="4"/>
      <c r="E2" s="4"/>
      <c r="F2" s="4"/>
      <c r="G2" s="4"/>
      <c r="H2" s="4"/>
      <c r="I2" s="2" t="s">
        <v>11</v>
      </c>
      <c r="J2" s="2"/>
      <c r="K2" s="2"/>
      <c r="L2" s="2"/>
      <c r="M2" s="2"/>
      <c r="N2" s="2"/>
      <c r="O2" s="2"/>
    </row>
    <row r="3" customFormat="false" ht="14.25" hidden="false" customHeight="false" outlineLevel="0" collapsed="false">
      <c r="A3" s="15" t="n">
        <v>2</v>
      </c>
      <c r="B3" s="5" t="n">
        <v>3.74E-006</v>
      </c>
      <c r="C3" s="6" t="n">
        <v>2.21E-006</v>
      </c>
      <c r="D3" s="16" t="n">
        <v>5.08E-007</v>
      </c>
      <c r="E3" s="6" t="n">
        <v>1.13E-006</v>
      </c>
      <c r="F3" s="6"/>
      <c r="G3" s="6"/>
      <c r="H3" s="7"/>
      <c r="O3" s="1" t="n">
        <f aca="false">(B3+C3+D3)/3</f>
        <v>2.15266666666667E-006</v>
      </c>
    </row>
    <row r="4" customFormat="false" ht="14.25" hidden="false" customHeight="false" outlineLevel="0" collapsed="false">
      <c r="A4" s="15" t="n">
        <v>3</v>
      </c>
      <c r="B4" s="8" t="n">
        <v>1.85E-005</v>
      </c>
      <c r="C4" s="9" t="n">
        <v>3.23E-006</v>
      </c>
      <c r="D4" s="17" t="n">
        <v>4.38E-006</v>
      </c>
      <c r="E4" s="9" t="n">
        <v>1.17E-006</v>
      </c>
      <c r="F4" s="9"/>
      <c r="G4" s="9"/>
      <c r="H4" s="10"/>
      <c r="O4" s="1" t="n">
        <f aca="false">(B4+C4+D4)/3</f>
        <v>8.70333333333333E-006</v>
      </c>
    </row>
    <row r="5" customFormat="false" ht="14.25" hidden="false" customHeight="false" outlineLevel="0" collapsed="false">
      <c r="A5" s="15" t="n">
        <v>4</v>
      </c>
      <c r="B5" s="8" t="n">
        <v>1.03E-005</v>
      </c>
      <c r="C5" s="9" t="n">
        <v>6.11E-006</v>
      </c>
      <c r="D5" s="18" t="n">
        <v>6.7E-006</v>
      </c>
      <c r="E5" s="9" t="n">
        <v>1.18E-006</v>
      </c>
      <c r="F5" s="9" t="n">
        <v>4.29E-006</v>
      </c>
      <c r="G5" s="9" t="n">
        <v>6.2E-006</v>
      </c>
      <c r="H5" s="10" t="n">
        <v>2.24E-006</v>
      </c>
      <c r="O5" s="1" t="n">
        <f aca="false">(B5+C5+D5)/3</f>
        <v>7.70333333333333E-006</v>
      </c>
    </row>
    <row r="6" customFormat="false" ht="14.25" hidden="false" customHeight="false" outlineLevel="0" collapsed="false">
      <c r="A6" s="15" t="n">
        <v>6</v>
      </c>
      <c r="B6" s="8" t="n">
        <v>7.36E-007</v>
      </c>
      <c r="C6" s="9" t="n">
        <v>2.41E-006</v>
      </c>
      <c r="D6" s="17" t="n">
        <v>7.6E-006</v>
      </c>
      <c r="E6" s="9"/>
      <c r="F6" s="9"/>
      <c r="G6" s="9"/>
      <c r="H6" s="10"/>
      <c r="O6" s="1" t="n">
        <f aca="false">(B6+C6+D6)/3</f>
        <v>3.582E-006</v>
      </c>
    </row>
    <row r="7" customFormat="false" ht="14.25" hidden="false" customHeight="false" outlineLevel="0" collapsed="false">
      <c r="A7" s="15" t="n">
        <v>8</v>
      </c>
      <c r="B7" s="8" t="n">
        <v>8.11E-007</v>
      </c>
      <c r="C7" s="9" t="n">
        <v>2.93E-007</v>
      </c>
      <c r="D7" s="17" t="n">
        <v>5.47E-007</v>
      </c>
      <c r="E7" s="9"/>
      <c r="F7" s="9"/>
      <c r="G7" s="9"/>
      <c r="H7" s="10"/>
      <c r="O7" s="1" t="n">
        <f aca="false">(B7+C7+D7)/3</f>
        <v>5.50333333333333E-007</v>
      </c>
    </row>
    <row r="8" customFormat="false" ht="14.25" hidden="false" customHeight="false" outlineLevel="0" collapsed="false">
      <c r="A8" s="15" t="n">
        <v>24</v>
      </c>
      <c r="B8" s="11" t="n">
        <v>8.95999E-007</v>
      </c>
      <c r="C8" s="12" t="n">
        <v>1.1905E-006</v>
      </c>
      <c r="D8" s="19" t="n">
        <v>2.62364E-006</v>
      </c>
      <c r="E8" s="12"/>
      <c r="F8" s="12"/>
      <c r="G8" s="12"/>
      <c r="H8" s="13"/>
      <c r="O8" s="1" t="n">
        <f aca="false">(B8+C8+D8)/3</f>
        <v>1.57004633333333E-006</v>
      </c>
    </row>
    <row r="9" customFormat="false" ht="14.25" hidden="false" customHeight="false" outlineLevel="0" collapsed="false">
      <c r="O9" s="1"/>
    </row>
    <row r="10" customFormat="false" ht="14.25" hidden="false" customHeight="false" outlineLevel="0" collapsed="false">
      <c r="O10" s="1"/>
    </row>
    <row r="11" customFormat="false" ht="14.25" hidden="false" customHeight="false" outlineLevel="0" collapsed="false">
      <c r="B11" s="4" t="s">
        <v>3</v>
      </c>
      <c r="C11" s="4"/>
      <c r="D11" s="4"/>
      <c r="E11" s="4"/>
      <c r="F11" s="4"/>
      <c r="G11" s="4"/>
      <c r="H11" s="4"/>
      <c r="O11" s="1"/>
    </row>
    <row r="12" customFormat="false" ht="14.25" hidden="false" customHeight="false" outlineLevel="0" collapsed="false">
      <c r="A12" s="15" t="n">
        <v>2</v>
      </c>
      <c r="B12" s="5" t="n">
        <v>1.85E-005</v>
      </c>
      <c r="C12" s="6" t="n">
        <v>4.56E-005</v>
      </c>
      <c r="D12" s="16" t="n">
        <v>6.73E-006</v>
      </c>
      <c r="E12" s="6" t="n">
        <v>8.58E-006</v>
      </c>
      <c r="F12" s="6"/>
      <c r="G12" s="6"/>
      <c r="H12" s="7"/>
      <c r="J12" s="1" t="n">
        <f aca="false">B12/B3</f>
        <v>4.94652406417112</v>
      </c>
      <c r="K12" s="1" t="n">
        <f aca="false">C12/C3</f>
        <v>20.6334841628959</v>
      </c>
      <c r="L12" s="1" t="n">
        <f aca="false">D12/D3</f>
        <v>13.248031496063</v>
      </c>
      <c r="M12" s="1"/>
      <c r="O12" s="1" t="n">
        <f aca="false">(B12+C12+D12)/3</f>
        <v>2.361E-005</v>
      </c>
    </row>
    <row r="13" customFormat="false" ht="14.25" hidden="false" customHeight="false" outlineLevel="0" collapsed="false">
      <c r="A13" s="15" t="n">
        <v>3</v>
      </c>
      <c r="B13" s="8" t="n">
        <v>0.000296</v>
      </c>
      <c r="C13" s="9" t="n">
        <v>5.03E-005</v>
      </c>
      <c r="D13" s="17" t="n">
        <v>6.1E-005</v>
      </c>
      <c r="E13" s="9" t="n">
        <v>2.25E-005</v>
      </c>
      <c r="F13" s="9"/>
      <c r="G13" s="9"/>
      <c r="H13" s="10"/>
      <c r="J13" s="1" t="n">
        <f aca="false">B13/B4</f>
        <v>16</v>
      </c>
      <c r="K13" s="1" t="n">
        <f aca="false">C13/C4</f>
        <v>15.5727554179567</v>
      </c>
      <c r="L13" s="1" t="n">
        <f aca="false">D13/D4</f>
        <v>13.9269406392694</v>
      </c>
      <c r="M13" s="1"/>
      <c r="O13" s="1" t="n">
        <f aca="false">(B13+C13+D13)/3</f>
        <v>0.000135766666666667</v>
      </c>
    </row>
    <row r="14" customFormat="false" ht="14.25" hidden="false" customHeight="false" outlineLevel="0" collapsed="false">
      <c r="A14" s="15" t="n">
        <v>4</v>
      </c>
      <c r="B14" s="8" t="n">
        <v>0.000129</v>
      </c>
      <c r="C14" s="9" t="n">
        <v>6.5E-005</v>
      </c>
      <c r="D14" s="17" t="n">
        <v>3.39E-005</v>
      </c>
      <c r="E14" s="9" t="n">
        <v>1.59E-005</v>
      </c>
      <c r="F14" s="9" t="n">
        <v>9.59E-006</v>
      </c>
      <c r="G14" s="9" t="n">
        <v>7.12E-006</v>
      </c>
      <c r="H14" s="10" t="n">
        <v>4.03E-006</v>
      </c>
      <c r="J14" s="1" t="n">
        <f aca="false">B14/B5</f>
        <v>12.5242718446602</v>
      </c>
      <c r="K14" s="1" t="n">
        <f aca="false">C14/C5</f>
        <v>10.6382978723404</v>
      </c>
      <c r="L14" s="1" t="n">
        <f aca="false">D14/D5</f>
        <v>5.05970149253731</v>
      </c>
      <c r="M14" s="1"/>
      <c r="N14" s="1"/>
      <c r="O14" s="1" t="n">
        <f aca="false">(B14+C14+D14)/3</f>
        <v>7.59666666666667E-005</v>
      </c>
      <c r="P14" s="1"/>
    </row>
    <row r="15" customFormat="false" ht="14.25" hidden="false" customHeight="false" outlineLevel="0" collapsed="false">
      <c r="A15" s="15" t="n">
        <v>6</v>
      </c>
      <c r="B15" s="8" t="n">
        <v>1.05E-005</v>
      </c>
      <c r="C15" s="9" t="n">
        <v>1.58E-005</v>
      </c>
      <c r="D15" s="17" t="n">
        <v>1.63E-005</v>
      </c>
      <c r="E15" s="9"/>
      <c r="F15" s="9"/>
      <c r="G15" s="9"/>
      <c r="H15" s="10"/>
      <c r="J15" s="1" t="n">
        <f aca="false">B15/B6</f>
        <v>14.2663043478261</v>
      </c>
      <c r="K15" s="1" t="n">
        <f aca="false">C15/C6</f>
        <v>6.55601659751037</v>
      </c>
      <c r="L15" s="1" t="n">
        <f aca="false">D15/D6</f>
        <v>2.14473684210526</v>
      </c>
      <c r="O15" s="1" t="n">
        <f aca="false">(B15+C15+D15)/3</f>
        <v>1.42E-005</v>
      </c>
    </row>
    <row r="16" customFormat="false" ht="14.25" hidden="false" customHeight="false" outlineLevel="0" collapsed="false">
      <c r="A16" s="15" t="n">
        <v>8</v>
      </c>
      <c r="B16" s="8" t="n">
        <v>2.28E-005</v>
      </c>
      <c r="C16" s="9" t="n">
        <v>2.54E-006</v>
      </c>
      <c r="D16" s="17" t="n">
        <v>3.71E-006</v>
      </c>
      <c r="E16" s="9"/>
      <c r="F16" s="9"/>
      <c r="G16" s="9"/>
      <c r="H16" s="10"/>
      <c r="J16" s="1" t="n">
        <f aca="false">B16/B7</f>
        <v>28.1134401972873</v>
      </c>
      <c r="K16" s="1" t="n">
        <f aca="false">C16/C7</f>
        <v>8.66894197952218</v>
      </c>
      <c r="L16" s="1" t="n">
        <f aca="false">D16/D7</f>
        <v>6.78244972577697</v>
      </c>
      <c r="O16" s="1" t="n">
        <f aca="false">(B16+C16+D16)/3</f>
        <v>9.68333333333333E-006</v>
      </c>
    </row>
    <row r="17" customFormat="false" ht="14.25" hidden="false" customHeight="false" outlineLevel="0" collapsed="false">
      <c r="A17" s="15" t="n">
        <v>24</v>
      </c>
      <c r="B17" s="11" t="n">
        <v>6.55033E-006</v>
      </c>
      <c r="C17" s="12" t="n">
        <v>4.26211E-006</v>
      </c>
      <c r="D17" s="19" t="n">
        <v>9.19958E-006</v>
      </c>
      <c r="E17" s="12"/>
      <c r="F17" s="12"/>
      <c r="G17" s="12"/>
      <c r="H17" s="13"/>
      <c r="J17" s="1" t="n">
        <f aca="false">B17/B8</f>
        <v>7.31064431991554</v>
      </c>
      <c r="K17" s="1" t="n">
        <f aca="false">C17/C8</f>
        <v>3.58010079798404</v>
      </c>
      <c r="L17" s="1" t="n">
        <f aca="false">D17/D8</f>
        <v>3.50641856352243</v>
      </c>
      <c r="O17" s="1" t="n">
        <f aca="false">(B17+C17+D17)/3</f>
        <v>6.67067333333333E-006</v>
      </c>
    </row>
    <row r="18" customFormat="false" ht="14.25" hidden="false" customHeight="false" outlineLevel="0" collapsed="false">
      <c r="O18" s="1"/>
    </row>
    <row r="19" customFormat="false" ht="14.25" hidden="false" customHeight="false" outlineLevel="0" collapsed="false">
      <c r="O19" s="1"/>
    </row>
    <row r="20" customFormat="false" ht="14.25" hidden="false" customHeight="false" outlineLevel="0" collapsed="false">
      <c r="B20" s="4" t="s">
        <v>4</v>
      </c>
      <c r="C20" s="4"/>
      <c r="D20" s="4"/>
      <c r="E20" s="4"/>
      <c r="F20" s="4"/>
      <c r="G20" s="4"/>
      <c r="H20" s="4"/>
      <c r="O20" s="1"/>
    </row>
    <row r="21" customFormat="false" ht="14.25" hidden="false" customHeight="false" outlineLevel="0" collapsed="false">
      <c r="A21" s="15" t="n">
        <v>2</v>
      </c>
      <c r="B21" s="5" t="n">
        <v>4.82E-005</v>
      </c>
      <c r="C21" s="6" t="n">
        <v>0.000103</v>
      </c>
      <c r="D21" s="16" t="n">
        <v>8.12E-006</v>
      </c>
      <c r="E21" s="6" t="n">
        <v>1.62E-005</v>
      </c>
      <c r="F21" s="6"/>
      <c r="G21" s="6"/>
      <c r="H21" s="7"/>
      <c r="J21" s="1" t="n">
        <f aca="false">B21/B3</f>
        <v>12.8877005347594</v>
      </c>
      <c r="K21" s="1" t="n">
        <f aca="false">C21/C3</f>
        <v>46.606334841629</v>
      </c>
      <c r="L21" s="1" t="n">
        <f aca="false">D21/D3</f>
        <v>15.9842519685039</v>
      </c>
      <c r="M21" s="1"/>
      <c r="O21" s="1" t="n">
        <f aca="false">(B21+C21+D21)/3</f>
        <v>5.31066666666667E-005</v>
      </c>
    </row>
    <row r="22" customFormat="false" ht="14.25" hidden="false" customHeight="false" outlineLevel="0" collapsed="false">
      <c r="A22" s="15" t="n">
        <v>3</v>
      </c>
      <c r="B22" s="8" t="n">
        <v>0.000322</v>
      </c>
      <c r="C22" s="9" t="n">
        <v>6.32E-005</v>
      </c>
      <c r="D22" s="17" t="n">
        <v>5.66E-005</v>
      </c>
      <c r="E22" s="9" t="n">
        <v>1.65823E-005</v>
      </c>
      <c r="F22" s="9"/>
      <c r="G22" s="9"/>
      <c r="H22" s="10"/>
      <c r="J22" s="1" t="n">
        <f aca="false">B22/B4</f>
        <v>17.4054054054054</v>
      </c>
      <c r="K22" s="1" t="n">
        <f aca="false">C22/C4</f>
        <v>19.5665634674923</v>
      </c>
      <c r="L22" s="1" t="n">
        <f aca="false">D22/D4</f>
        <v>12.9223744292237</v>
      </c>
      <c r="M22" s="1"/>
      <c r="O22" s="1" t="n">
        <f aca="false">(B22+C22+D22)/3</f>
        <v>0.000147266666666667</v>
      </c>
    </row>
    <row r="23" customFormat="false" ht="14.25" hidden="false" customHeight="false" outlineLevel="0" collapsed="false">
      <c r="A23" s="15" t="n">
        <v>4</v>
      </c>
      <c r="B23" s="8" t="n">
        <v>0.000234</v>
      </c>
      <c r="C23" s="20" t="n">
        <v>0.000705</v>
      </c>
      <c r="D23" s="17" t="n">
        <v>0.000263</v>
      </c>
      <c r="E23" s="9" t="n">
        <v>2.88714E-005</v>
      </c>
      <c r="F23" s="9" t="n">
        <v>1.04E-005</v>
      </c>
      <c r="G23" s="9" t="n">
        <v>1.09E-005</v>
      </c>
      <c r="H23" s="10" t="n">
        <v>5.14E-006</v>
      </c>
      <c r="J23" s="1" t="n">
        <f aca="false">B23/B5</f>
        <v>22.7184466019417</v>
      </c>
      <c r="K23" s="1" t="n">
        <f aca="false">C23/C5</f>
        <v>115.384615384615</v>
      </c>
      <c r="L23" s="1" t="n">
        <f aca="false">D23/D5</f>
        <v>39.2537313432836</v>
      </c>
      <c r="M23" s="1"/>
      <c r="N23" s="1"/>
      <c r="O23" s="1" t="n">
        <f aca="false">(B23+C23+D23)/3</f>
        <v>0.000400666666666667</v>
      </c>
      <c r="P23" s="1"/>
    </row>
    <row r="24" customFormat="false" ht="14.25" hidden="false" customHeight="false" outlineLevel="0" collapsed="false">
      <c r="A24" s="15" t="n">
        <v>6</v>
      </c>
      <c r="B24" s="8" t="n">
        <v>2.64E-005</v>
      </c>
      <c r="C24" s="9" t="n">
        <v>2.52E-005</v>
      </c>
      <c r="D24" s="17" t="n">
        <v>4.81E-005</v>
      </c>
      <c r="E24" s="9"/>
      <c r="F24" s="9"/>
      <c r="G24" s="9"/>
      <c r="H24" s="10"/>
      <c r="J24" s="1" t="n">
        <f aca="false">B24/B6</f>
        <v>35.8695652173913</v>
      </c>
      <c r="K24" s="1" t="n">
        <f aca="false">C24/C6</f>
        <v>10.4564315352697</v>
      </c>
      <c r="L24" s="1" t="n">
        <f aca="false">D24/D6</f>
        <v>6.32894736842105</v>
      </c>
      <c r="O24" s="1" t="n">
        <f aca="false">(B24+C24+D24)/3</f>
        <v>3.32333333333333E-005</v>
      </c>
    </row>
    <row r="25" customFormat="false" ht="14.25" hidden="false" customHeight="false" outlineLevel="0" collapsed="false">
      <c r="A25" s="15" t="n">
        <v>8</v>
      </c>
      <c r="B25" s="8" t="n">
        <v>2.67E-005</v>
      </c>
      <c r="C25" s="9" t="n">
        <v>1.33E-005</v>
      </c>
      <c r="D25" s="17" t="n">
        <v>2.68E-005</v>
      </c>
      <c r="E25" s="9"/>
      <c r="F25" s="9"/>
      <c r="G25" s="9"/>
      <c r="H25" s="10"/>
      <c r="J25" s="1" t="n">
        <f aca="false">B25/B7</f>
        <v>32.9223181257707</v>
      </c>
      <c r="K25" s="1" t="n">
        <f aca="false">C25/C7</f>
        <v>45.3924914675768</v>
      </c>
      <c r="L25" s="1" t="n">
        <f aca="false">D25/D7</f>
        <v>48.9945155393053</v>
      </c>
      <c r="O25" s="1" t="n">
        <f aca="false">(B25+C25+D25)/3</f>
        <v>2.22666666666667E-005</v>
      </c>
    </row>
    <row r="26" customFormat="false" ht="14.25" hidden="false" customHeight="false" outlineLevel="0" collapsed="false">
      <c r="A26" s="15" t="n">
        <v>24</v>
      </c>
      <c r="B26" s="11" t="n">
        <v>1.10929E-005</v>
      </c>
      <c r="C26" s="12" t="n">
        <v>5.10379E-006</v>
      </c>
      <c r="D26" s="19" t="n">
        <v>2.14301E-005</v>
      </c>
      <c r="E26" s="12"/>
      <c r="F26" s="12"/>
      <c r="G26" s="12"/>
      <c r="H26" s="13"/>
      <c r="J26" s="1" t="n">
        <f aca="false">B26/B8</f>
        <v>12.3804825675029</v>
      </c>
      <c r="K26" s="1" t="n">
        <f aca="false">C26/C8</f>
        <v>4.28709785804284</v>
      </c>
      <c r="L26" s="1" t="n">
        <f aca="false">D26/D8</f>
        <v>8.16807946212133</v>
      </c>
      <c r="O26" s="1" t="n">
        <f aca="false">(B26+C26+D26)/3</f>
        <v>1.25422633333333E-005</v>
      </c>
    </row>
    <row r="27" customFormat="false" ht="14.25" hidden="false" customHeight="false" outlineLevel="0" collapsed="false">
      <c r="O27" s="1"/>
    </row>
    <row r="28" customFormat="false" ht="14.25" hidden="false" customHeight="false" outlineLevel="0" collapsed="false">
      <c r="B28" s="4" t="s">
        <v>5</v>
      </c>
      <c r="C28" s="4"/>
      <c r="D28" s="4"/>
      <c r="E28" s="4"/>
      <c r="F28" s="4"/>
      <c r="G28" s="4"/>
      <c r="H28" s="4"/>
      <c r="O28" s="1"/>
    </row>
    <row r="29" customFormat="false" ht="14.25" hidden="false" customHeight="false" outlineLevel="0" collapsed="false">
      <c r="A29" s="15" t="n">
        <v>2</v>
      </c>
      <c r="B29" s="5" t="n">
        <v>3.34E-006</v>
      </c>
      <c r="C29" s="6" t="n">
        <v>7.47E-006</v>
      </c>
      <c r="D29" s="16" t="n">
        <v>8.13E-007</v>
      </c>
      <c r="E29" s="6" t="n">
        <v>5.58504E-006</v>
      </c>
      <c r="F29" s="6"/>
      <c r="G29" s="6"/>
      <c r="H29" s="7"/>
      <c r="J29" s="1" t="n">
        <f aca="false">B29/B3</f>
        <v>0.893048128342246</v>
      </c>
      <c r="K29" s="1" t="n">
        <f aca="false">C29/C3</f>
        <v>3.38009049773756</v>
      </c>
      <c r="L29" s="1" t="n">
        <f aca="false">D29/D3</f>
        <v>1.6003937007874</v>
      </c>
      <c r="M29" s="1"/>
      <c r="O29" s="1" t="n">
        <f aca="false">(B29+C29+D29)/3</f>
        <v>3.87433333333333E-006</v>
      </c>
    </row>
    <row r="30" customFormat="false" ht="14.25" hidden="false" customHeight="false" outlineLevel="0" collapsed="false">
      <c r="A30" s="15" t="n">
        <v>3</v>
      </c>
      <c r="B30" s="8" t="n">
        <v>1.74E-005</v>
      </c>
      <c r="C30" s="9" t="n">
        <v>1.05E-006</v>
      </c>
      <c r="D30" s="17" t="n">
        <v>2.13E-006</v>
      </c>
      <c r="E30" s="9" t="n">
        <v>2.3E-006</v>
      </c>
      <c r="F30" s="9"/>
      <c r="G30" s="9"/>
      <c r="H30" s="10"/>
      <c r="J30" s="1" t="n">
        <f aca="false">B30/B4</f>
        <v>0.940540540540541</v>
      </c>
      <c r="K30" s="1" t="n">
        <f aca="false">C30/C4</f>
        <v>0.325077399380805</v>
      </c>
      <c r="L30" s="1" t="n">
        <f aca="false">D30/D4</f>
        <v>0.486301369863014</v>
      </c>
      <c r="M30" s="1"/>
      <c r="O30" s="1" t="n">
        <f aca="false">(B30+C30+D30)/3</f>
        <v>6.86E-006</v>
      </c>
    </row>
    <row r="31" customFormat="false" ht="14.25" hidden="false" customHeight="false" outlineLevel="0" collapsed="false">
      <c r="A31" s="15" t="n">
        <v>4</v>
      </c>
      <c r="B31" s="8" t="n">
        <v>2.22E-005</v>
      </c>
      <c r="C31" s="9" t="n">
        <v>2.27E-005</v>
      </c>
      <c r="D31" s="17" t="n">
        <v>7.68E-006</v>
      </c>
      <c r="E31" s="9" t="n">
        <v>2.93E-006</v>
      </c>
      <c r="F31" s="9" t="n">
        <v>5.94E-006</v>
      </c>
      <c r="G31" s="9" t="n">
        <v>4.6E-006</v>
      </c>
      <c r="H31" s="10" t="n">
        <v>3.63E-006</v>
      </c>
      <c r="J31" s="1" t="n">
        <f aca="false">B31/B5</f>
        <v>2.15533980582524</v>
      </c>
      <c r="K31" s="1" t="n">
        <f aca="false">C31/C5</f>
        <v>3.7152209492635</v>
      </c>
      <c r="L31" s="1" t="n">
        <f aca="false">D31/D5</f>
        <v>1.14626865671642</v>
      </c>
      <c r="M31" s="1"/>
      <c r="N31" s="1"/>
      <c r="O31" s="1" t="n">
        <f aca="false">(B31+C31+D31)/3</f>
        <v>1.75266666666667E-005</v>
      </c>
      <c r="P31" s="1"/>
    </row>
    <row r="32" customFormat="false" ht="14.25" hidden="false" customHeight="false" outlineLevel="0" collapsed="false">
      <c r="A32" s="15" t="n">
        <v>6</v>
      </c>
      <c r="B32" s="8" t="n">
        <v>2.44E-006</v>
      </c>
      <c r="C32" s="9" t="n">
        <v>6.48E-007</v>
      </c>
      <c r="D32" s="17" t="n">
        <v>1.17E-006</v>
      </c>
      <c r="E32" s="9"/>
      <c r="F32" s="9"/>
      <c r="G32" s="9"/>
      <c r="H32" s="10"/>
      <c r="J32" s="1" t="n">
        <f aca="false">B32/B6</f>
        <v>3.31521739130435</v>
      </c>
      <c r="K32" s="1" t="n">
        <f aca="false">C32/C6</f>
        <v>0.268879668049793</v>
      </c>
      <c r="L32" s="1" t="n">
        <f aca="false">D32/D6</f>
        <v>0.153947368421053</v>
      </c>
      <c r="O32" s="1" t="n">
        <f aca="false">(B32+C32+D32)/3</f>
        <v>1.41933333333333E-006</v>
      </c>
    </row>
    <row r="33" customFormat="false" ht="14.25" hidden="false" customHeight="false" outlineLevel="0" collapsed="false">
      <c r="A33" s="15" t="n">
        <v>8</v>
      </c>
      <c r="B33" s="8" t="n">
        <v>1.06E-006</v>
      </c>
      <c r="C33" s="9" t="n">
        <v>2.36E-007</v>
      </c>
      <c r="D33" s="17" t="n">
        <v>1.02E-006</v>
      </c>
      <c r="E33" s="9"/>
      <c r="F33" s="9"/>
      <c r="G33" s="9"/>
      <c r="H33" s="10"/>
      <c r="J33" s="1" t="n">
        <f aca="false">B33/B7</f>
        <v>1.30702836004932</v>
      </c>
      <c r="K33" s="1" t="n">
        <f aca="false">C33/C7</f>
        <v>0.805460750853242</v>
      </c>
      <c r="L33" s="1" t="n">
        <f aca="false">D33/D7</f>
        <v>1.86471663619744</v>
      </c>
      <c r="O33" s="1" t="n">
        <f aca="false">(B33+C33+D33)/3</f>
        <v>7.72E-007</v>
      </c>
    </row>
    <row r="34" customFormat="false" ht="14.25" hidden="false" customHeight="false" outlineLevel="0" collapsed="false">
      <c r="A34" s="15" t="n">
        <v>24</v>
      </c>
      <c r="B34" s="11" t="n">
        <v>8.24487E-007</v>
      </c>
      <c r="C34" s="12" t="n">
        <v>1.97725E-007</v>
      </c>
      <c r="D34" s="19" t="n">
        <v>0</v>
      </c>
      <c r="E34" s="12"/>
      <c r="F34" s="12"/>
      <c r="G34" s="12"/>
      <c r="H34" s="13"/>
      <c r="J34" s="1" t="n">
        <f aca="false">B34/B8</f>
        <v>0.92018741092345</v>
      </c>
      <c r="K34" s="1" t="n">
        <f aca="false">C34/C8</f>
        <v>0.166085678286434</v>
      </c>
      <c r="L34" s="1" t="n">
        <f aca="false">D34/D8</f>
        <v>0</v>
      </c>
      <c r="O34" s="1" t="n">
        <f aca="false">(B34+C34+D34)/3</f>
        <v>3.40737333333333E-007</v>
      </c>
    </row>
    <row r="38" customFormat="false" ht="14.25" hidden="false" customHeight="false" outlineLevel="0" collapsed="false">
      <c r="A38" s="1" t="s">
        <v>6</v>
      </c>
      <c r="F38" s="1" t="s">
        <v>7</v>
      </c>
    </row>
    <row r="39" customFormat="false" ht="14.25" hidden="false" customHeight="false" outlineLevel="0" collapsed="false">
      <c r="A39" s="1" t="s">
        <v>8</v>
      </c>
    </row>
    <row r="40" customFormat="false" ht="14.25" hidden="false" customHeight="false" outlineLevel="0" collapsed="false">
      <c r="A40" s="1" t="s">
        <v>9</v>
      </c>
    </row>
  </sheetData>
  <mergeCells count="6">
    <mergeCell ref="B1:H1"/>
    <mergeCell ref="B2:H2"/>
    <mergeCell ref="I2:O2"/>
    <mergeCell ref="B11:H11"/>
    <mergeCell ref="B20:H20"/>
    <mergeCell ref="B28:H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F1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8" activeCellId="0" sqref="D8"/>
    </sheetView>
  </sheetViews>
  <sheetFormatPr defaultColWidth="8.55078125" defaultRowHeight="14.25" customHeight="false" zeroHeight="false" outlineLevelRow="0" outlineLevelCol="0"/>
  <cols>
    <col collapsed="false" customWidth="true" hidden="false" outlineLevel="0" max="1" min="1" style="1" width="16.09"/>
    <col collapsed="false" customWidth="true" hidden="false" outlineLevel="0" max="32" min="32" style="1" width="20.63"/>
  </cols>
  <sheetData>
    <row r="1" customFormat="false" ht="14.25" hidden="false" customHeight="false" outlineLevel="0" collapsed="false">
      <c r="B1" s="21" t="s">
        <v>12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customFormat="false" ht="14.25" hidden="false" customHeight="false" outlineLevel="0" collapsed="false">
      <c r="A2" s="15" t="s">
        <v>10</v>
      </c>
      <c r="B2" s="22" t="s">
        <v>13</v>
      </c>
      <c r="C2" s="22"/>
      <c r="D2" s="22"/>
      <c r="E2" s="22"/>
      <c r="F2" s="22"/>
      <c r="G2" s="22"/>
      <c r="H2" s="22"/>
      <c r="I2" s="22" t="s">
        <v>3</v>
      </c>
      <c r="J2" s="22"/>
      <c r="K2" s="22"/>
      <c r="L2" s="22"/>
      <c r="M2" s="22"/>
      <c r="N2" s="22"/>
      <c r="O2" s="22"/>
      <c r="P2" s="22" t="s">
        <v>4</v>
      </c>
      <c r="Q2" s="22"/>
      <c r="R2" s="22"/>
      <c r="S2" s="22"/>
      <c r="T2" s="22"/>
      <c r="U2" s="22"/>
      <c r="V2" s="22"/>
      <c r="W2" s="22" t="s">
        <v>5</v>
      </c>
      <c r="X2" s="22"/>
      <c r="Y2" s="22"/>
      <c r="Z2" s="22"/>
      <c r="AA2" s="22"/>
      <c r="AB2" s="22"/>
      <c r="AC2" s="22"/>
      <c r="AF2" s="23" t="s">
        <v>14</v>
      </c>
    </row>
    <row r="3" customFormat="false" ht="14.25" hidden="false" customHeight="false" outlineLevel="0" collapsed="false">
      <c r="A3" s="15" t="n">
        <v>2</v>
      </c>
      <c r="B3" s="5" t="n">
        <v>3.74E-006</v>
      </c>
      <c r="C3" s="6" t="n">
        <v>2.21E-006</v>
      </c>
      <c r="D3" s="6" t="n">
        <v>5.08E-007</v>
      </c>
      <c r="E3" s="6" t="n">
        <v>1.13E-006</v>
      </c>
      <c r="F3" s="6"/>
      <c r="G3" s="6"/>
      <c r="H3" s="7"/>
      <c r="I3" s="5" t="n">
        <v>1.85E-005</v>
      </c>
      <c r="J3" s="6" t="n">
        <v>4.56E-005</v>
      </c>
      <c r="K3" s="6" t="n">
        <v>6.73E-006</v>
      </c>
      <c r="L3" s="6" t="n">
        <v>8.58E-006</v>
      </c>
      <c r="M3" s="6"/>
      <c r="N3" s="6"/>
      <c r="O3" s="7"/>
      <c r="P3" s="5" t="n">
        <v>4.82E-005</v>
      </c>
      <c r="Q3" s="6" t="n">
        <v>0.000103</v>
      </c>
      <c r="R3" s="6" t="n">
        <v>8.12E-006</v>
      </c>
      <c r="S3" s="6" t="n">
        <v>1.62E-005</v>
      </c>
      <c r="T3" s="6"/>
      <c r="U3" s="6"/>
      <c r="V3" s="7"/>
      <c r="W3" s="5" t="n">
        <v>3.34E-006</v>
      </c>
      <c r="X3" s="6" t="n">
        <v>7.47E-006</v>
      </c>
      <c r="Y3" s="6" t="n">
        <v>8.13E-007</v>
      </c>
      <c r="Z3" s="6" t="n">
        <v>5.58504E-006</v>
      </c>
      <c r="AA3" s="6"/>
      <c r="AB3" s="6"/>
      <c r="AC3" s="7"/>
      <c r="AF3" s="24"/>
    </row>
    <row r="4" customFormat="false" ht="14.25" hidden="false" customHeight="false" outlineLevel="0" collapsed="false">
      <c r="A4" s="15" t="n">
        <v>3</v>
      </c>
      <c r="B4" s="8" t="n">
        <v>1.85E-005</v>
      </c>
      <c r="C4" s="9" t="n">
        <v>3.23E-006</v>
      </c>
      <c r="D4" s="9" t="n">
        <v>4.38E-006</v>
      </c>
      <c r="E4" s="9" t="n">
        <v>1.17E-006</v>
      </c>
      <c r="F4" s="9"/>
      <c r="G4" s="9"/>
      <c r="H4" s="10"/>
      <c r="I4" s="8" t="n">
        <v>0.000296</v>
      </c>
      <c r="J4" s="9" t="n">
        <v>5.03E-005</v>
      </c>
      <c r="K4" s="9" t="n">
        <v>6.1E-005</v>
      </c>
      <c r="L4" s="9" t="n">
        <v>2.25E-005</v>
      </c>
      <c r="M4" s="9"/>
      <c r="N4" s="9"/>
      <c r="O4" s="10"/>
      <c r="P4" s="8" t="n">
        <v>0.000322</v>
      </c>
      <c r="Q4" s="9" t="n">
        <v>6.32E-005</v>
      </c>
      <c r="R4" s="9" t="n">
        <v>5.66E-005</v>
      </c>
      <c r="S4" s="9" t="n">
        <v>1.65823E-005</v>
      </c>
      <c r="T4" s="9"/>
      <c r="U4" s="9"/>
      <c r="V4" s="10"/>
      <c r="W4" s="8" t="n">
        <v>1.74E-005</v>
      </c>
      <c r="X4" s="9" t="n">
        <v>1.05E-006</v>
      </c>
      <c r="Y4" s="9" t="n">
        <v>2.13E-006</v>
      </c>
      <c r="Z4" s="9" t="n">
        <v>2.3E-006</v>
      </c>
      <c r="AA4" s="9"/>
      <c r="AB4" s="9"/>
      <c r="AC4" s="10"/>
      <c r="AF4" s="25" t="s">
        <v>15</v>
      </c>
    </row>
    <row r="5" customFormat="false" ht="14.25" hidden="false" customHeight="false" outlineLevel="0" collapsed="false">
      <c r="A5" s="15" t="n">
        <v>4</v>
      </c>
      <c r="B5" s="8" t="n">
        <v>1.03E-005</v>
      </c>
      <c r="C5" s="9" t="n">
        <v>6.11E-006</v>
      </c>
      <c r="D5" s="26" t="n">
        <v>6.7E-007</v>
      </c>
      <c r="E5" s="9" t="n">
        <v>1.18E-006</v>
      </c>
      <c r="F5" s="9" t="n">
        <v>4.29E-006</v>
      </c>
      <c r="G5" s="9" t="n">
        <v>6.2E-006</v>
      </c>
      <c r="H5" s="10" t="n">
        <v>2.24E-006</v>
      </c>
      <c r="I5" s="8" t="n">
        <v>0.000129</v>
      </c>
      <c r="J5" s="9" t="n">
        <v>6.5E-005</v>
      </c>
      <c r="K5" s="9" t="n">
        <v>3.39E-005</v>
      </c>
      <c r="L5" s="9" t="n">
        <v>1.59E-005</v>
      </c>
      <c r="M5" s="9" t="n">
        <v>9.59E-006</v>
      </c>
      <c r="N5" s="9" t="n">
        <v>7.12E-006</v>
      </c>
      <c r="O5" s="10" t="n">
        <v>4.03E-006</v>
      </c>
      <c r="P5" s="8" t="n">
        <v>0.000234</v>
      </c>
      <c r="Q5" s="27" t="s">
        <v>16</v>
      </c>
      <c r="R5" s="9" t="n">
        <v>0.000263</v>
      </c>
      <c r="S5" s="9" t="n">
        <v>2.88714E-005</v>
      </c>
      <c r="T5" s="9" t="n">
        <v>1.04E-005</v>
      </c>
      <c r="U5" s="9" t="n">
        <v>1.09E-005</v>
      </c>
      <c r="V5" s="10" t="n">
        <v>5.14E-006</v>
      </c>
      <c r="W5" s="8" t="n">
        <v>2.22E-005</v>
      </c>
      <c r="X5" s="9" t="n">
        <v>2.27E-005</v>
      </c>
      <c r="Y5" s="9" t="n">
        <v>7.68E-006</v>
      </c>
      <c r="Z5" s="9" t="n">
        <v>2.93E-006</v>
      </c>
      <c r="AA5" s="9" t="n">
        <v>5.94E-006</v>
      </c>
      <c r="AB5" s="9" t="n">
        <v>4.6E-006</v>
      </c>
      <c r="AC5" s="10" t="n">
        <v>3.63E-006</v>
      </c>
      <c r="AF5" s="28" t="s">
        <v>17</v>
      </c>
    </row>
    <row r="6" customFormat="false" ht="14.25" hidden="false" customHeight="false" outlineLevel="0" collapsed="false">
      <c r="A6" s="15" t="n">
        <v>6</v>
      </c>
      <c r="B6" s="8" t="n">
        <v>7.36E-007</v>
      </c>
      <c r="C6" s="9" t="n">
        <v>2.41E-006</v>
      </c>
      <c r="D6" s="9" t="n">
        <v>7.6E-006</v>
      </c>
      <c r="E6" s="9"/>
      <c r="F6" s="9"/>
      <c r="G6" s="9"/>
      <c r="H6" s="10"/>
      <c r="I6" s="8" t="n">
        <v>1.05E-005</v>
      </c>
      <c r="J6" s="9" t="n">
        <v>1.58E-005</v>
      </c>
      <c r="K6" s="9" t="n">
        <v>1.63E-005</v>
      </c>
      <c r="L6" s="9"/>
      <c r="M6" s="9"/>
      <c r="N6" s="9"/>
      <c r="O6" s="10"/>
      <c r="P6" s="8" t="n">
        <v>2.64E-005</v>
      </c>
      <c r="Q6" s="9" t="n">
        <v>2.52E-005</v>
      </c>
      <c r="R6" s="9" t="n">
        <v>4.81E-005</v>
      </c>
      <c r="S6" s="9"/>
      <c r="T6" s="9"/>
      <c r="U6" s="9"/>
      <c r="V6" s="10"/>
      <c r="W6" s="8" t="n">
        <v>2.44E-006</v>
      </c>
      <c r="X6" s="9" t="n">
        <v>6.48E-007</v>
      </c>
      <c r="Y6" s="9" t="n">
        <v>1.17E-006</v>
      </c>
      <c r="Z6" s="9"/>
      <c r="AA6" s="9"/>
      <c r="AB6" s="9"/>
      <c r="AC6" s="10"/>
      <c r="AF6" s="28" t="s">
        <v>18</v>
      </c>
    </row>
    <row r="7" customFormat="false" ht="14.25" hidden="false" customHeight="false" outlineLevel="0" collapsed="false">
      <c r="A7" s="15" t="n">
        <v>8</v>
      </c>
      <c r="B7" s="8" t="n">
        <v>8.11E-007</v>
      </c>
      <c r="C7" s="9" t="n">
        <v>2.93E-007</v>
      </c>
      <c r="D7" s="9" t="n">
        <v>5.47E-007</v>
      </c>
      <c r="E7" s="9"/>
      <c r="F7" s="9"/>
      <c r="G7" s="9"/>
      <c r="H7" s="10"/>
      <c r="I7" s="8" t="n">
        <v>2.28E-005</v>
      </c>
      <c r="J7" s="9" t="n">
        <v>2.54E-006</v>
      </c>
      <c r="K7" s="9" t="n">
        <v>3.71E-006</v>
      </c>
      <c r="L7" s="9"/>
      <c r="M7" s="9"/>
      <c r="N7" s="9"/>
      <c r="O7" s="10"/>
      <c r="P7" s="8" t="n">
        <v>2.67E-005</v>
      </c>
      <c r="Q7" s="9" t="n">
        <v>1.33E-005</v>
      </c>
      <c r="R7" s="9" t="n">
        <v>2.68E-005</v>
      </c>
      <c r="S7" s="9"/>
      <c r="T7" s="9"/>
      <c r="U7" s="9"/>
      <c r="V7" s="10"/>
      <c r="W7" s="8" t="n">
        <v>1.06E-006</v>
      </c>
      <c r="X7" s="9" t="n">
        <v>2.36E-007</v>
      </c>
      <c r="Y7" s="9" t="n">
        <v>1.02E-006</v>
      </c>
      <c r="Z7" s="9"/>
      <c r="AA7" s="9"/>
      <c r="AB7" s="9"/>
      <c r="AC7" s="10"/>
      <c r="AF7" s="28" t="s">
        <v>19</v>
      </c>
    </row>
    <row r="8" customFormat="false" ht="14.25" hidden="false" customHeight="false" outlineLevel="0" collapsed="false">
      <c r="A8" s="15" t="n">
        <v>24</v>
      </c>
      <c r="B8" s="11" t="n">
        <v>8.95999E-007</v>
      </c>
      <c r="C8" s="12" t="n">
        <v>1.1905E-006</v>
      </c>
      <c r="D8" s="12" t="n">
        <v>2.62364E-006</v>
      </c>
      <c r="E8" s="12"/>
      <c r="F8" s="12"/>
      <c r="G8" s="12"/>
      <c r="H8" s="13"/>
      <c r="I8" s="11" t="n">
        <v>6.55033E-006</v>
      </c>
      <c r="J8" s="12" t="n">
        <v>4.26211E-006</v>
      </c>
      <c r="K8" s="12" t="n">
        <v>9.19958E-006</v>
      </c>
      <c r="L8" s="12"/>
      <c r="M8" s="12"/>
      <c r="N8" s="12"/>
      <c r="O8" s="13"/>
      <c r="P8" s="11" t="n">
        <v>1.10929E-005</v>
      </c>
      <c r="Q8" s="12" t="n">
        <v>5.10379E-006</v>
      </c>
      <c r="R8" s="12" t="n">
        <v>2.14301E-005</v>
      </c>
      <c r="S8" s="12"/>
      <c r="T8" s="12"/>
      <c r="U8" s="12"/>
      <c r="V8" s="13"/>
      <c r="W8" s="11" t="n">
        <v>8.24487E-007</v>
      </c>
      <c r="X8" s="12" t="n">
        <v>1.97725E-007</v>
      </c>
      <c r="Y8" s="12" t="n">
        <v>0</v>
      </c>
      <c r="Z8" s="12"/>
      <c r="AA8" s="12"/>
      <c r="AB8" s="12"/>
      <c r="AC8" s="13"/>
      <c r="AF8" s="29"/>
    </row>
    <row r="12" customFormat="false" ht="14.25" hidden="false" customHeight="false" outlineLevel="0" collapsed="false">
      <c r="B12" s="21" t="s">
        <v>20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customFormat="false" ht="14.25" hidden="false" customHeight="false" outlineLevel="0" collapsed="false">
      <c r="A13" s="3"/>
      <c r="B13" s="22" t="s">
        <v>13</v>
      </c>
      <c r="C13" s="22"/>
      <c r="D13" s="22"/>
      <c r="E13" s="22"/>
      <c r="F13" s="22"/>
      <c r="G13" s="22"/>
      <c r="H13" s="22"/>
      <c r="I13" s="22" t="s">
        <v>3</v>
      </c>
      <c r="J13" s="22"/>
      <c r="K13" s="22"/>
      <c r="L13" s="22"/>
      <c r="M13" s="22"/>
      <c r="N13" s="22"/>
      <c r="O13" s="22"/>
      <c r="P13" s="22" t="s">
        <v>4</v>
      </c>
      <c r="Q13" s="22"/>
      <c r="R13" s="22"/>
      <c r="S13" s="22"/>
      <c r="T13" s="22"/>
      <c r="U13" s="22"/>
      <c r="V13" s="22"/>
      <c r="W13" s="22" t="s">
        <v>5</v>
      </c>
      <c r="X13" s="22"/>
      <c r="Y13" s="22"/>
      <c r="Z13" s="22"/>
      <c r="AA13" s="22"/>
      <c r="AB13" s="22"/>
      <c r="AC13" s="22"/>
    </row>
    <row r="14" customFormat="false" ht="14.25" hidden="false" customHeight="false" outlineLevel="0" collapsed="false">
      <c r="A14" s="3" t="n">
        <v>2</v>
      </c>
      <c r="B14" s="5" t="n">
        <v>0.000523</v>
      </c>
      <c r="C14" s="6" t="n">
        <v>0.00162</v>
      </c>
      <c r="D14" s="6" t="n">
        <v>0.000681</v>
      </c>
      <c r="E14" s="6" t="n">
        <v>0.001076</v>
      </c>
      <c r="F14" s="6"/>
      <c r="G14" s="6"/>
      <c r="H14" s="7"/>
      <c r="I14" s="5" t="n">
        <v>0.000956</v>
      </c>
      <c r="J14" s="6" t="n">
        <v>0.003023</v>
      </c>
      <c r="K14" s="6" t="n">
        <v>0.00113</v>
      </c>
      <c r="L14" s="6" t="n">
        <v>0.003285</v>
      </c>
      <c r="M14" s="6"/>
      <c r="N14" s="6"/>
      <c r="O14" s="7"/>
      <c r="P14" s="5" t="n">
        <v>0.001575</v>
      </c>
      <c r="Q14" s="6" t="n">
        <v>0.004304</v>
      </c>
      <c r="R14" s="6" t="n">
        <v>0.002705</v>
      </c>
      <c r="S14" s="6" t="n">
        <v>0.004979</v>
      </c>
      <c r="T14" s="6"/>
      <c r="U14" s="6"/>
      <c r="V14" s="7"/>
      <c r="W14" s="5" t="n">
        <v>0.00052</v>
      </c>
      <c r="X14" s="6" t="n">
        <v>0.001874</v>
      </c>
      <c r="Y14" s="6" t="n">
        <v>0.000793</v>
      </c>
      <c r="Z14" s="6" t="n">
        <v>0.00182233</v>
      </c>
      <c r="AA14" s="6"/>
      <c r="AB14" s="6"/>
      <c r="AC14" s="7"/>
    </row>
    <row r="15" customFormat="false" ht="14.25" hidden="false" customHeight="false" outlineLevel="0" collapsed="false">
      <c r="A15" s="3" t="n">
        <v>3</v>
      </c>
      <c r="B15" s="8" t="n">
        <v>0.001069</v>
      </c>
      <c r="C15" s="9" t="n">
        <v>0.000565</v>
      </c>
      <c r="D15" s="9" t="n">
        <v>0.000162</v>
      </c>
      <c r="E15" s="9" t="n">
        <v>0.001298</v>
      </c>
      <c r="F15" s="9"/>
      <c r="G15" s="9"/>
      <c r="H15" s="10"/>
      <c r="I15" s="8" t="n">
        <v>0.004979</v>
      </c>
      <c r="J15" s="9" t="n">
        <v>0.004809</v>
      </c>
      <c r="K15" s="9" t="n">
        <v>0.001371</v>
      </c>
      <c r="L15" s="9" t="n">
        <v>0.008669</v>
      </c>
      <c r="M15" s="9"/>
      <c r="N15" s="9"/>
      <c r="O15" s="10"/>
      <c r="P15" s="8" t="n">
        <v>0.004979</v>
      </c>
      <c r="Q15" s="9" t="n">
        <v>0.004044</v>
      </c>
      <c r="R15" s="9" t="n">
        <v>0.001631</v>
      </c>
      <c r="S15" s="9" t="n">
        <v>0.01016673</v>
      </c>
      <c r="T15" s="9"/>
      <c r="U15" s="9"/>
      <c r="V15" s="10"/>
      <c r="W15" s="8" t="n">
        <v>0.000874</v>
      </c>
      <c r="X15" s="9" t="n">
        <v>0.000676</v>
      </c>
      <c r="Y15" s="9" t="n">
        <v>0.00026</v>
      </c>
      <c r="Z15" s="9" t="n">
        <v>0.001245</v>
      </c>
      <c r="AA15" s="9"/>
      <c r="AB15" s="9"/>
      <c r="AC15" s="10"/>
    </row>
    <row r="16" customFormat="false" ht="14.25" hidden="false" customHeight="false" outlineLevel="0" collapsed="false">
      <c r="A16" s="3" t="n">
        <v>4</v>
      </c>
      <c r="B16" s="8" t="n">
        <v>0.00286</v>
      </c>
      <c r="C16" s="9" t="n">
        <v>0.004187</v>
      </c>
      <c r="D16" s="9" t="n">
        <v>0.003285</v>
      </c>
      <c r="E16" s="9" t="n">
        <v>0.001785</v>
      </c>
      <c r="F16" s="9" t="n">
        <v>0.003151</v>
      </c>
      <c r="G16" s="9" t="n">
        <v>0.001194</v>
      </c>
      <c r="H16" s="10" t="n">
        <v>0.001289</v>
      </c>
      <c r="I16" s="8" t="n">
        <v>0.019237</v>
      </c>
      <c r="J16" s="9" t="n">
        <v>0.013139</v>
      </c>
      <c r="K16" s="9" t="n">
        <v>0.013888</v>
      </c>
      <c r="L16" s="9" t="n">
        <v>0.011842</v>
      </c>
      <c r="M16" s="9" t="n">
        <v>0.005448</v>
      </c>
      <c r="N16" s="9" t="n">
        <v>0.010453</v>
      </c>
      <c r="O16" s="10" t="n">
        <v>0.007759</v>
      </c>
      <c r="P16" s="8" t="n">
        <v>0.025033</v>
      </c>
      <c r="Q16" s="9" t="n">
        <v>0.025559</v>
      </c>
      <c r="R16" s="9" t="n">
        <v>0.022561</v>
      </c>
      <c r="S16" s="9" t="n">
        <v>0.01388817</v>
      </c>
      <c r="T16" s="9" t="n">
        <v>0.004645</v>
      </c>
      <c r="U16" s="9" t="n">
        <v>0.007239</v>
      </c>
      <c r="V16" s="10" t="n">
        <v>0.007442</v>
      </c>
      <c r="W16" s="8" t="n">
        <v>0.000821</v>
      </c>
      <c r="X16" s="9" t="n">
        <v>0.008315</v>
      </c>
      <c r="Y16" s="9" t="n">
        <v>0.007239</v>
      </c>
      <c r="Z16" s="9" t="n">
        <v>0.003044</v>
      </c>
      <c r="AA16" s="9" t="n">
        <v>0.0041</v>
      </c>
      <c r="AB16" s="9" t="n">
        <v>0.000924</v>
      </c>
      <c r="AC16" s="10" t="n">
        <v>0.001785</v>
      </c>
    </row>
    <row r="17" customFormat="false" ht="14.25" hidden="false" customHeight="false" outlineLevel="0" collapsed="false">
      <c r="A17" s="3" t="n">
        <v>6</v>
      </c>
      <c r="B17" s="8" t="n">
        <v>0.00135</v>
      </c>
      <c r="C17" s="9" t="n">
        <v>0.003006</v>
      </c>
      <c r="D17" s="9" t="n">
        <v>0.004412</v>
      </c>
      <c r="E17" s="9"/>
      <c r="F17" s="9"/>
      <c r="G17" s="9"/>
      <c r="H17" s="10"/>
      <c r="I17" s="8" t="n">
        <v>0.007327</v>
      </c>
      <c r="J17" s="9" t="n">
        <v>0.010127</v>
      </c>
      <c r="K17" s="9" t="n">
        <v>0.01509</v>
      </c>
      <c r="L17" s="9"/>
      <c r="M17" s="9"/>
      <c r="N17" s="9"/>
      <c r="O17" s="10"/>
      <c r="P17" s="8" t="n">
        <v>0.005083</v>
      </c>
      <c r="Q17" s="9" t="n">
        <v>0.007793</v>
      </c>
      <c r="R17" s="9" t="n">
        <v>0.017941</v>
      </c>
      <c r="S17" s="9"/>
      <c r="T17" s="9"/>
      <c r="U17" s="9"/>
      <c r="V17" s="10"/>
      <c r="W17" s="8" t="n">
        <v>0.002577</v>
      </c>
      <c r="X17" s="9" t="n">
        <v>0.004729</v>
      </c>
      <c r="Y17" s="9" t="n">
        <v>0.007148</v>
      </c>
      <c r="Z17" s="9"/>
      <c r="AA17" s="9"/>
      <c r="AB17" s="9"/>
      <c r="AC17" s="10"/>
    </row>
    <row r="18" customFormat="false" ht="14.25" hidden="false" customHeight="false" outlineLevel="0" collapsed="false">
      <c r="A18" s="3" t="n">
        <v>8</v>
      </c>
      <c r="B18" s="8" t="n">
        <v>0.003198</v>
      </c>
      <c r="C18" s="9" t="n">
        <v>0.003296</v>
      </c>
      <c r="D18" s="9" t="n">
        <v>0.003475</v>
      </c>
      <c r="E18" s="9"/>
      <c r="F18" s="9"/>
      <c r="G18" s="9"/>
      <c r="H18" s="10"/>
      <c r="I18" s="8" t="n">
        <v>0.009053</v>
      </c>
      <c r="J18" s="9" t="n">
        <v>0.005727</v>
      </c>
      <c r="K18" s="9" t="n">
        <v>0.007936</v>
      </c>
      <c r="L18" s="9"/>
      <c r="M18" s="9"/>
      <c r="N18" s="9"/>
      <c r="O18" s="10"/>
      <c r="P18" s="8" t="n">
        <v>0.003972</v>
      </c>
      <c r="Q18" s="9" t="n">
        <v>0.006481</v>
      </c>
      <c r="R18" s="9" t="n">
        <v>0.008426</v>
      </c>
      <c r="S18" s="9"/>
      <c r="T18" s="9"/>
      <c r="U18" s="9"/>
      <c r="V18" s="10"/>
      <c r="W18" s="8" t="n">
        <v>0.002457</v>
      </c>
      <c r="X18" s="9" t="n">
        <v>0.003446</v>
      </c>
      <c r="Y18" s="9" t="n">
        <v>0.00685</v>
      </c>
      <c r="Z18" s="9"/>
      <c r="AA18" s="9"/>
      <c r="AB18" s="9"/>
      <c r="AC18" s="10"/>
    </row>
    <row r="19" customFormat="false" ht="14.25" hidden="false" customHeight="false" outlineLevel="0" collapsed="false">
      <c r="A19" s="3" t="n">
        <v>24</v>
      </c>
      <c r="B19" s="11" t="n">
        <v>0.002152158</v>
      </c>
      <c r="C19" s="12" t="n">
        <v>0.001288582</v>
      </c>
      <c r="D19" s="12" t="n">
        <v>0.000904871</v>
      </c>
      <c r="E19" s="12"/>
      <c r="F19" s="12"/>
      <c r="G19" s="12"/>
      <c r="H19" s="13"/>
      <c r="I19" s="11" t="n">
        <v>0.004581387</v>
      </c>
      <c r="J19" s="12" t="n">
        <v>0.002387969</v>
      </c>
      <c r="K19" s="12" t="n">
        <v>0.002724109</v>
      </c>
      <c r="L19" s="12"/>
      <c r="M19" s="12"/>
      <c r="N19" s="12"/>
      <c r="O19" s="13"/>
      <c r="P19" s="11" t="n">
        <v>0.004215735</v>
      </c>
      <c r="Q19" s="12" t="n">
        <v>0.002649618</v>
      </c>
      <c r="R19" s="12" t="n">
        <v>0.00289946</v>
      </c>
      <c r="S19" s="12"/>
      <c r="T19" s="12"/>
      <c r="U19" s="12"/>
      <c r="V19" s="13"/>
      <c r="W19" s="11" t="n">
        <v>0.001145347</v>
      </c>
      <c r="X19" s="12" t="n">
        <v>0.000956465</v>
      </c>
      <c r="Y19" s="12" t="n">
        <v>0</v>
      </c>
      <c r="Z19" s="12"/>
      <c r="AA19" s="12"/>
      <c r="AB19" s="12"/>
      <c r="AC19" s="13"/>
    </row>
  </sheetData>
  <mergeCells count="10">
    <mergeCell ref="B1:AC1"/>
    <mergeCell ref="B2:H2"/>
    <mergeCell ref="I2:O2"/>
    <mergeCell ref="P2:V2"/>
    <mergeCell ref="W2:AC2"/>
    <mergeCell ref="B12:AC12"/>
    <mergeCell ref="B13:H13"/>
    <mergeCell ref="I13:O13"/>
    <mergeCell ref="P13:V13"/>
    <mergeCell ref="W13:AC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9"/>
  <sheetViews>
    <sheetView showFormulas="false" showGridLines="true" showRowColHeaders="true" showZeros="true" rightToLeft="false" tabSelected="false" showOutlineSymbols="true" defaultGridColor="true" view="normal" topLeftCell="A5" colorId="64" zoomScale="120" zoomScaleNormal="120" zoomScalePageLayoutView="100" workbookViewId="0">
      <selection pane="topLeft" activeCell="H56" activeCellId="0" sqref="H56"/>
    </sheetView>
  </sheetViews>
  <sheetFormatPr defaultColWidth="8.55078125" defaultRowHeight="14.25" customHeight="false" zeroHeight="false" outlineLevelRow="0" outlineLevelCol="0"/>
  <cols>
    <col collapsed="false" customWidth="true" hidden="false" outlineLevel="0" max="1" min="1" style="1" width="11.17"/>
    <col collapsed="false" customWidth="true" hidden="false" outlineLevel="0" max="3" min="3" style="1" width="10.99"/>
  </cols>
  <sheetData>
    <row r="2" customFormat="false" ht="14.25" hidden="false" customHeight="false" outlineLevel="0" collapsed="false">
      <c r="A2" s="1" t="s">
        <v>21</v>
      </c>
      <c r="B2" s="1" t="s">
        <v>22</v>
      </c>
      <c r="C2" s="1" t="s">
        <v>11</v>
      </c>
    </row>
    <row r="3" customFormat="false" ht="14.25" hidden="false" customHeight="false" outlineLevel="0" collapsed="false">
      <c r="A3" s="15" t="s">
        <v>13</v>
      </c>
      <c r="B3" s="3" t="n">
        <v>0.003151</v>
      </c>
    </row>
    <row r="4" customFormat="false" ht="14.25" hidden="false" customHeight="false" outlineLevel="0" collapsed="false">
      <c r="B4" s="3" t="n">
        <v>0.001194</v>
      </c>
    </row>
    <row r="5" customFormat="false" ht="14.25" hidden="false" customHeight="false" outlineLevel="0" collapsed="false">
      <c r="B5" s="3" t="n">
        <v>0.001289</v>
      </c>
    </row>
    <row r="7" customFormat="false" ht="14.25" hidden="false" customHeight="false" outlineLevel="0" collapsed="false">
      <c r="A7" s="15" t="s">
        <v>3</v>
      </c>
      <c r="B7" s="3" t="n">
        <v>0.005448</v>
      </c>
      <c r="C7" s="1" t="n">
        <f aca="false">B7/B3</f>
        <v>1.7289749285941</v>
      </c>
    </row>
    <row r="8" customFormat="false" ht="14.25" hidden="false" customHeight="false" outlineLevel="0" collapsed="false">
      <c r="B8" s="3" t="n">
        <v>0.010453</v>
      </c>
      <c r="C8" s="1" t="n">
        <f aca="false">B8/B4</f>
        <v>8.75460636515913</v>
      </c>
    </row>
    <row r="9" customFormat="false" ht="14.25" hidden="false" customHeight="false" outlineLevel="0" collapsed="false">
      <c r="B9" s="3" t="n">
        <v>0.007759</v>
      </c>
      <c r="C9" s="1" t="n">
        <f aca="false">B9/B5</f>
        <v>6.01939487975175</v>
      </c>
    </row>
    <row r="11" customFormat="false" ht="14.25" hidden="false" customHeight="false" outlineLevel="0" collapsed="false">
      <c r="A11" s="1" t="s">
        <v>4</v>
      </c>
      <c r="B11" s="3" t="n">
        <v>0.004645</v>
      </c>
      <c r="C11" s="1" t="n">
        <f aca="false">B11/B3</f>
        <v>1.47413519517613</v>
      </c>
    </row>
    <row r="12" customFormat="false" ht="14.25" hidden="false" customHeight="false" outlineLevel="0" collapsed="false">
      <c r="B12" s="3" t="n">
        <v>0.007239</v>
      </c>
      <c r="C12" s="1" t="n">
        <f aca="false">B12/B4</f>
        <v>6.06281407035176</v>
      </c>
    </row>
    <row r="13" customFormat="false" ht="14.25" hidden="false" customHeight="false" outlineLevel="0" collapsed="false">
      <c r="B13" s="3" t="n">
        <v>0.007442</v>
      </c>
      <c r="C13" s="1" t="n">
        <f aca="false">B13/B5</f>
        <v>5.77346780449961</v>
      </c>
    </row>
    <row r="15" customFormat="false" ht="14.25" hidden="false" customHeight="false" outlineLevel="0" collapsed="false">
      <c r="A15" s="15" t="s">
        <v>23</v>
      </c>
      <c r="B15" s="3" t="n">
        <v>0.0041</v>
      </c>
      <c r="C15" s="1" t="n">
        <f aca="false">B15/B3</f>
        <v>1.30117423040305</v>
      </c>
    </row>
    <row r="16" customFormat="false" ht="14.25" hidden="false" customHeight="false" outlineLevel="0" collapsed="false">
      <c r="B16" s="3" t="n">
        <v>0.000924</v>
      </c>
      <c r="C16" s="1" t="n">
        <f aca="false">B16/B4</f>
        <v>0.773869346733668</v>
      </c>
    </row>
    <row r="17" customFormat="false" ht="14.25" hidden="false" customHeight="false" outlineLevel="0" collapsed="false">
      <c r="B17" s="3" t="n">
        <v>0.001785</v>
      </c>
      <c r="C17" s="1" t="n">
        <f aca="false">B17/B5</f>
        <v>1.38479441427463</v>
      </c>
    </row>
    <row r="19" customFormat="false" ht="14.25" hidden="false" customHeight="false" outlineLevel="0" collapsed="false">
      <c r="A19" s="15" t="s">
        <v>24</v>
      </c>
      <c r="B19" s="3" t="n">
        <v>0.003619</v>
      </c>
      <c r="C19" s="1" t="n">
        <f aca="false">B19/B3</f>
        <v>1.14852427800698</v>
      </c>
    </row>
    <row r="20" customFormat="false" ht="14.25" hidden="false" customHeight="false" outlineLevel="0" collapsed="false">
      <c r="B20" s="3" t="n">
        <v>0.005524</v>
      </c>
      <c r="C20" s="1" t="n">
        <f aca="false">B20/B4</f>
        <v>4.62646566164154</v>
      </c>
    </row>
    <row r="21" customFormat="false" ht="14.25" hidden="false" customHeight="false" outlineLevel="0" collapsed="false">
      <c r="B21" s="3" t="n">
        <v>0.006258</v>
      </c>
      <c r="C21" s="1" t="n">
        <f aca="false">B21/B5</f>
        <v>4.85492629945694</v>
      </c>
    </row>
    <row r="23" customFormat="false" ht="14.25" hidden="false" customHeight="false" outlineLevel="0" collapsed="false">
      <c r="A23" s="15" t="s">
        <v>25</v>
      </c>
      <c r="B23" s="3" t="n">
        <v>0.002259</v>
      </c>
      <c r="C23" s="1" t="n">
        <f aca="false">B23/B3</f>
        <v>0.71691526499524</v>
      </c>
    </row>
    <row r="24" customFormat="false" ht="14.25" hidden="false" customHeight="false" outlineLevel="0" collapsed="false">
      <c r="B24" s="3" t="n">
        <v>0.00471</v>
      </c>
      <c r="C24" s="1" t="n">
        <f aca="false">B24/B4</f>
        <v>3.94472361809045</v>
      </c>
    </row>
    <row r="25" customFormat="false" ht="14.25" hidden="false" customHeight="false" outlineLevel="0" collapsed="false">
      <c r="B25" s="3" t="n">
        <v>0.007759</v>
      </c>
      <c r="C25" s="1" t="n">
        <f aca="false">B25/B5</f>
        <v>6.01939487975175</v>
      </c>
    </row>
    <row r="29" customFormat="false" ht="14.25" hidden="false" customHeight="false" outlineLevel="0" collapsed="false">
      <c r="A29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I51" activeCellId="0" sqref="I51"/>
    </sheetView>
  </sheetViews>
  <sheetFormatPr defaultColWidth="8.55078125" defaultRowHeight="14.25" customHeight="false" zeroHeight="false" outlineLevelRow="0" outlineLevelCol="0"/>
  <cols>
    <col collapsed="false" customWidth="true" hidden="false" outlineLevel="0" max="1" min="1" style="1" width="11.17"/>
    <col collapsed="false" customWidth="true" hidden="false" outlineLevel="0" max="3" min="3" style="1" width="11.83"/>
  </cols>
  <sheetData>
    <row r="2" customFormat="false" ht="14.25" hidden="false" customHeight="false" outlineLevel="0" collapsed="false">
      <c r="A2" s="1" t="s">
        <v>21</v>
      </c>
      <c r="B2" s="1" t="s">
        <v>22</v>
      </c>
      <c r="C2" s="1" t="s">
        <v>11</v>
      </c>
    </row>
    <row r="3" customFormat="false" ht="14.25" hidden="false" customHeight="false" outlineLevel="0" collapsed="false">
      <c r="A3" s="15" t="s">
        <v>13</v>
      </c>
      <c r="B3" s="15" t="n">
        <v>4.29E-006</v>
      </c>
    </row>
    <row r="4" customFormat="false" ht="14.25" hidden="false" customHeight="false" outlineLevel="0" collapsed="false">
      <c r="B4" s="15" t="n">
        <v>6.2E-006</v>
      </c>
    </row>
    <row r="5" customFormat="false" ht="14.25" hidden="false" customHeight="false" outlineLevel="0" collapsed="false">
      <c r="B5" s="15" t="n">
        <v>2.24E-006</v>
      </c>
    </row>
    <row r="7" customFormat="false" ht="14.25" hidden="false" customHeight="false" outlineLevel="0" collapsed="false">
      <c r="A7" s="15" t="s">
        <v>3</v>
      </c>
      <c r="B7" s="15" t="n">
        <v>9.59E-006</v>
      </c>
      <c r="C7" s="1" t="n">
        <f aca="false">B7/B3</f>
        <v>2.23543123543124</v>
      </c>
    </row>
    <row r="8" customFormat="false" ht="14.25" hidden="false" customHeight="false" outlineLevel="0" collapsed="false">
      <c r="B8" s="15" t="n">
        <v>7.12E-006</v>
      </c>
      <c r="C8" s="1" t="n">
        <f aca="false">B8/B4</f>
        <v>1.14838709677419</v>
      </c>
    </row>
    <row r="9" customFormat="false" ht="14.25" hidden="false" customHeight="false" outlineLevel="0" collapsed="false">
      <c r="B9" s="15" t="n">
        <v>4.03E-006</v>
      </c>
      <c r="C9" s="1" t="n">
        <f aca="false">B9/B5</f>
        <v>1.79910714285714</v>
      </c>
    </row>
    <row r="11" customFormat="false" ht="14.25" hidden="false" customHeight="false" outlineLevel="0" collapsed="false">
      <c r="A11" s="1" t="s">
        <v>4</v>
      </c>
      <c r="B11" s="15" t="n">
        <v>1.04E-005</v>
      </c>
      <c r="C11" s="1" t="n">
        <f aca="false">B11/B3</f>
        <v>2.42424242424242</v>
      </c>
    </row>
    <row r="12" customFormat="false" ht="14.25" hidden="false" customHeight="false" outlineLevel="0" collapsed="false">
      <c r="B12" s="15" t="n">
        <v>1.09E-005</v>
      </c>
      <c r="C12" s="1" t="n">
        <f aca="false">B12/B4</f>
        <v>1.75806451612903</v>
      </c>
    </row>
    <row r="13" customFormat="false" ht="14.25" hidden="false" customHeight="false" outlineLevel="0" collapsed="false">
      <c r="B13" s="15" t="n">
        <v>5.14E-006</v>
      </c>
      <c r="C13" s="1" t="n">
        <f aca="false">B13/B5</f>
        <v>2.29464285714286</v>
      </c>
    </row>
    <row r="15" customFormat="false" ht="14.25" hidden="false" customHeight="false" outlineLevel="0" collapsed="false">
      <c r="A15" s="15" t="s">
        <v>23</v>
      </c>
      <c r="B15" s="15" t="n">
        <v>5.94E-006</v>
      </c>
      <c r="C15" s="1" t="n">
        <f aca="false">B15/B3</f>
        <v>1.38461538461538</v>
      </c>
    </row>
    <row r="16" customFormat="false" ht="14.25" hidden="false" customHeight="false" outlineLevel="0" collapsed="false">
      <c r="B16" s="15" t="n">
        <v>4.6E-006</v>
      </c>
      <c r="C16" s="1" t="n">
        <f aca="false">B16/B4</f>
        <v>0.741935483870968</v>
      </c>
    </row>
    <row r="17" customFormat="false" ht="14.25" hidden="false" customHeight="false" outlineLevel="0" collapsed="false">
      <c r="B17" s="15" t="n">
        <v>3.63E-006</v>
      </c>
      <c r="C17" s="1" t="n">
        <f aca="false">B17/B5</f>
        <v>1.62053571428571</v>
      </c>
    </row>
    <row r="19" customFormat="false" ht="14.25" hidden="false" customHeight="false" outlineLevel="0" collapsed="false">
      <c r="A19" s="15" t="s">
        <v>24</v>
      </c>
      <c r="B19" s="15" t="n">
        <v>5.14E-006</v>
      </c>
      <c r="C19" s="1" t="n">
        <f aca="false">B19/B3</f>
        <v>1.1981351981352</v>
      </c>
    </row>
    <row r="20" customFormat="false" ht="14.25" hidden="false" customHeight="false" outlineLevel="0" collapsed="false">
      <c r="B20" s="15" t="n">
        <v>4.83E-006</v>
      </c>
      <c r="C20" s="1" t="n">
        <f aca="false">B20/B4</f>
        <v>0.779032258064516</v>
      </c>
    </row>
    <row r="21" customFormat="false" ht="14.25" hidden="false" customHeight="false" outlineLevel="0" collapsed="false">
      <c r="B21" s="15" t="n">
        <v>3.37E-006</v>
      </c>
      <c r="C21" s="1" t="n">
        <f aca="false">B21/B5</f>
        <v>1.50446428571429</v>
      </c>
    </row>
    <row r="23" customFormat="false" ht="14.25" hidden="false" customHeight="false" outlineLevel="0" collapsed="false">
      <c r="A23" s="15" t="s">
        <v>25</v>
      </c>
      <c r="B23" s="15" t="n">
        <v>8.18E-006</v>
      </c>
      <c r="C23" s="1" t="n">
        <f aca="false">B23/B3</f>
        <v>1.90675990675991</v>
      </c>
    </row>
    <row r="24" customFormat="false" ht="14.25" hidden="false" customHeight="false" outlineLevel="0" collapsed="false">
      <c r="B24" s="15" t="n">
        <v>8.35E-006</v>
      </c>
      <c r="C24" s="1" t="n">
        <f aca="false">B24/B4</f>
        <v>1.34677419354839</v>
      </c>
    </row>
    <row r="25" customFormat="false" ht="14.25" hidden="false" customHeight="false" outlineLevel="0" collapsed="false">
      <c r="B25" s="15" t="n">
        <v>2.7E-006</v>
      </c>
      <c r="C25" s="1" t="n">
        <f aca="false">B25/B5</f>
        <v>1.20535714285714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4" activeCellId="0" sqref="F4"/>
    </sheetView>
  </sheetViews>
  <sheetFormatPr defaultColWidth="8.55078125" defaultRowHeight="14.25" customHeight="false" zeroHeight="false" outlineLevelRow="0" outlineLevelCol="0"/>
  <cols>
    <col collapsed="false" customWidth="true" hidden="false" outlineLevel="0" max="8" min="1" style="1" width="13.63"/>
    <col collapsed="false" customWidth="true" hidden="false" outlineLevel="0" max="10" min="10" style="1" width="16.37"/>
    <col collapsed="false" customWidth="true" hidden="false" outlineLevel="0" max="11" min="11" style="1" width="15.72"/>
  </cols>
  <sheetData>
    <row r="1" customFormat="false" ht="14.25" hidden="false" customHeight="false" outlineLevel="0" collapsed="false">
      <c r="J1" s="30" t="s">
        <v>14</v>
      </c>
      <c r="K1" s="31" t="s">
        <v>27</v>
      </c>
    </row>
    <row r="2" customFormat="false" ht="14.25" hidden="false" customHeight="false" outlineLevel="0" collapsed="false">
      <c r="A2" s="32" t="s">
        <v>12</v>
      </c>
      <c r="B2" s="32"/>
      <c r="C2" s="32"/>
      <c r="D2" s="32"/>
      <c r="E2" s="32"/>
      <c r="F2" s="32"/>
      <c r="G2" s="32"/>
      <c r="H2" s="32"/>
      <c r="J2" s="30"/>
    </row>
    <row r="3" customFormat="false" ht="14.25" hidden="false" customHeight="false" outlineLevel="0" collapsed="false">
      <c r="A3" s="15" t="s">
        <v>13</v>
      </c>
      <c r="B3" s="15" t="s">
        <v>3</v>
      </c>
      <c r="C3" s="15" t="s">
        <v>28</v>
      </c>
      <c r="D3" s="15" t="s">
        <v>4</v>
      </c>
      <c r="E3" s="15" t="s">
        <v>23</v>
      </c>
      <c r="F3" s="15" t="s">
        <v>24</v>
      </c>
      <c r="G3" s="15" t="s">
        <v>29</v>
      </c>
      <c r="H3" s="15" t="s">
        <v>25</v>
      </c>
      <c r="J3" s="33" t="s">
        <v>15</v>
      </c>
      <c r="K3" s="15" t="s">
        <v>30</v>
      </c>
    </row>
    <row r="4" customFormat="false" ht="14.25" hidden="false" customHeight="false" outlineLevel="0" collapsed="false">
      <c r="A4" s="15" t="n">
        <v>4.29E-006</v>
      </c>
      <c r="B4" s="15" t="n">
        <v>9.59E-006</v>
      </c>
      <c r="C4" s="15" t="n">
        <v>1.37E-005</v>
      </c>
      <c r="D4" s="15" t="n">
        <v>1.04E-005</v>
      </c>
      <c r="E4" s="15" t="n">
        <v>5.94E-006</v>
      </c>
      <c r="F4" s="15" t="n">
        <v>5.14E-006</v>
      </c>
      <c r="G4" s="15" t="n">
        <v>8.76E-006</v>
      </c>
      <c r="H4" s="15" t="n">
        <v>8.18E-006</v>
      </c>
      <c r="J4" s="34" t="s">
        <v>17</v>
      </c>
    </row>
    <row r="5" customFormat="false" ht="14.25" hidden="false" customHeight="false" outlineLevel="0" collapsed="false">
      <c r="A5" s="15" t="n">
        <v>6.2E-006</v>
      </c>
      <c r="B5" s="15" t="n">
        <v>7.12E-006</v>
      </c>
      <c r="C5" s="15" t="n">
        <v>1.2E-005</v>
      </c>
      <c r="D5" s="15" t="n">
        <v>1.09E-005</v>
      </c>
      <c r="E5" s="15" t="n">
        <v>4.6E-006</v>
      </c>
      <c r="F5" s="15" t="n">
        <v>4.83E-006</v>
      </c>
      <c r="G5" s="15" t="n">
        <v>5.14E-006</v>
      </c>
      <c r="H5" s="15" t="n">
        <v>8.35E-006</v>
      </c>
      <c r="J5" s="34" t="s">
        <v>18</v>
      </c>
    </row>
    <row r="6" customFormat="false" ht="14.25" hidden="false" customHeight="false" outlineLevel="0" collapsed="false">
      <c r="A6" s="15" t="n">
        <v>2.24E-006</v>
      </c>
      <c r="B6" s="15" t="n">
        <v>4.03E-006</v>
      </c>
      <c r="C6" s="15" t="n">
        <v>1.14E-005</v>
      </c>
      <c r="D6" s="15" t="n">
        <v>5.14E-006</v>
      </c>
      <c r="E6" s="15" t="n">
        <v>3.63E-006</v>
      </c>
      <c r="F6" s="15" t="n">
        <v>3.37E-006</v>
      </c>
      <c r="G6" s="15" t="n">
        <v>5.66E-006</v>
      </c>
      <c r="H6" s="15" t="n">
        <v>2.7E-006</v>
      </c>
      <c r="J6" s="34" t="s">
        <v>19</v>
      </c>
    </row>
    <row r="9" customFormat="false" ht="14.25" hidden="false" customHeight="false" outlineLevel="0" collapsed="false">
      <c r="A9" s="32" t="s">
        <v>20</v>
      </c>
      <c r="B9" s="32"/>
      <c r="C9" s="32"/>
      <c r="D9" s="32"/>
      <c r="E9" s="32"/>
      <c r="F9" s="32"/>
      <c r="G9" s="32"/>
      <c r="H9" s="32"/>
    </row>
    <row r="10" customFormat="false" ht="14.25" hidden="false" customHeight="false" outlineLevel="0" collapsed="false">
      <c r="A10" s="15" t="s">
        <v>13</v>
      </c>
      <c r="B10" s="15" t="s">
        <v>3</v>
      </c>
      <c r="C10" s="15" t="s">
        <v>28</v>
      </c>
      <c r="D10" s="15" t="s">
        <v>4</v>
      </c>
      <c r="E10" s="15" t="s">
        <v>23</v>
      </c>
      <c r="F10" s="15" t="s">
        <v>24</v>
      </c>
      <c r="G10" s="15" t="s">
        <v>29</v>
      </c>
      <c r="H10" s="15" t="s">
        <v>25</v>
      </c>
    </row>
    <row r="11" customFormat="false" ht="14.25" hidden="false" customHeight="false" outlineLevel="0" collapsed="false">
      <c r="A11" s="3" t="n">
        <v>0.003151</v>
      </c>
      <c r="B11" s="3" t="n">
        <v>0.005448</v>
      </c>
      <c r="C11" s="3" t="n">
        <v>0.00568</v>
      </c>
      <c r="D11" s="3" t="n">
        <v>0.004645</v>
      </c>
      <c r="E11" s="3" t="n">
        <v>0.0041</v>
      </c>
      <c r="F11" s="3" t="n">
        <v>0.003619</v>
      </c>
      <c r="G11" s="3" t="n">
        <v>0.003002</v>
      </c>
      <c r="H11" s="3" t="n">
        <v>0.002259</v>
      </c>
    </row>
    <row r="12" customFormat="false" ht="14.25" hidden="false" customHeight="false" outlineLevel="0" collapsed="false">
      <c r="A12" s="3" t="n">
        <v>0.001194</v>
      </c>
      <c r="B12" s="3" t="n">
        <v>0.010453</v>
      </c>
      <c r="C12" s="3" t="n">
        <v>0.010972</v>
      </c>
      <c r="D12" s="3" t="n">
        <v>0.007239</v>
      </c>
      <c r="E12" s="3" t="n">
        <v>0.000924</v>
      </c>
      <c r="F12" s="3" t="n">
        <v>0.005524</v>
      </c>
      <c r="G12" s="3" t="n">
        <v>0.006615</v>
      </c>
      <c r="H12" s="3" t="n">
        <v>0.00471</v>
      </c>
    </row>
    <row r="13" customFormat="false" ht="14.25" hidden="false" customHeight="false" outlineLevel="0" collapsed="false">
      <c r="A13" s="3" t="n">
        <v>0.001289</v>
      </c>
      <c r="B13" s="3" t="n">
        <v>0.007759</v>
      </c>
      <c r="C13" s="3" t="n">
        <v>0.008144</v>
      </c>
      <c r="D13" s="3" t="n">
        <v>0.007442</v>
      </c>
      <c r="E13" s="3" t="n">
        <v>0.001785</v>
      </c>
      <c r="F13" s="3" t="n">
        <v>0.006258</v>
      </c>
      <c r="G13" s="3" t="n">
        <v>0.00657</v>
      </c>
      <c r="H13" s="3" t="n">
        <v>0.007759</v>
      </c>
    </row>
  </sheetData>
  <mergeCells count="2">
    <mergeCell ref="A2:H2"/>
    <mergeCell ref="A9:H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7" activeCellId="0" sqref="D7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"/>
      <c r="B1" s="35" t="s">
        <v>12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customFormat="false" ht="13.8" hidden="false" customHeight="false" outlineLevel="0" collapsed="false">
      <c r="A2" s="15" t="s">
        <v>10</v>
      </c>
      <c r="B2" s="22" t="s">
        <v>31</v>
      </c>
      <c r="C2" s="22" t="s">
        <v>32</v>
      </c>
      <c r="D2" s="22" t="s">
        <v>32</v>
      </c>
      <c r="E2" s="22" t="s">
        <v>33</v>
      </c>
      <c r="F2" s="22" t="s">
        <v>34</v>
      </c>
      <c r="G2" s="22" t="s">
        <v>35</v>
      </c>
      <c r="H2" s="22" t="s">
        <v>36</v>
      </c>
      <c r="I2" s="22" t="s">
        <v>37</v>
      </c>
      <c r="J2" s="22" t="s">
        <v>38</v>
      </c>
      <c r="K2" s="22" t="s">
        <v>39</v>
      </c>
      <c r="L2" s="22" t="s">
        <v>40</v>
      </c>
      <c r="M2" s="22" t="s">
        <v>41</v>
      </c>
    </row>
    <row r="3" customFormat="false" ht="13.8" hidden="false" customHeight="false" outlineLevel="0" collapsed="false">
      <c r="A3" s="15" t="n">
        <v>2</v>
      </c>
      <c r="B3" s="5" t="n">
        <v>3.74E-006</v>
      </c>
      <c r="C3" s="6" t="n">
        <v>2.21E-006</v>
      </c>
      <c r="D3" s="6" t="n">
        <v>5.08E-007</v>
      </c>
      <c r="E3" s="5" t="n">
        <v>1.85E-005</v>
      </c>
      <c r="F3" s="6" t="n">
        <v>4.56E-005</v>
      </c>
      <c r="G3" s="6" t="n">
        <v>6.73E-006</v>
      </c>
      <c r="H3" s="5" t="n">
        <v>4.82E-005</v>
      </c>
      <c r="I3" s="6" t="n">
        <v>0.000103</v>
      </c>
      <c r="J3" s="6" t="n">
        <v>8.12E-006</v>
      </c>
      <c r="K3" s="5" t="n">
        <v>3.34E-006</v>
      </c>
      <c r="L3" s="6" t="n">
        <v>7.47E-006</v>
      </c>
      <c r="M3" s="6" t="n">
        <v>8.13E-007</v>
      </c>
    </row>
    <row r="4" customFormat="false" ht="13.8" hidden="false" customHeight="false" outlineLevel="0" collapsed="false">
      <c r="A4" s="15" t="n">
        <v>3</v>
      </c>
      <c r="B4" s="8" t="n">
        <v>1.85E-005</v>
      </c>
      <c r="C4" s="9" t="n">
        <v>3.23E-006</v>
      </c>
      <c r="D4" s="9" t="n">
        <v>4.38E-006</v>
      </c>
      <c r="E4" s="8" t="n">
        <v>0.000296</v>
      </c>
      <c r="F4" s="9" t="n">
        <v>5.03E-005</v>
      </c>
      <c r="G4" s="9" t="n">
        <v>6.1E-005</v>
      </c>
      <c r="H4" s="8" t="n">
        <v>0.000322</v>
      </c>
      <c r="I4" s="9" t="n">
        <v>6.32E-005</v>
      </c>
      <c r="J4" s="9" t="n">
        <v>5.66E-005</v>
      </c>
      <c r="K4" s="8"/>
      <c r="L4" s="9"/>
      <c r="M4" s="9"/>
    </row>
    <row r="5" customFormat="false" ht="13.8" hidden="false" customHeight="false" outlineLevel="0" collapsed="false">
      <c r="A5" s="15" t="n">
        <v>4</v>
      </c>
      <c r="B5" s="8" t="n">
        <v>1.03E-005</v>
      </c>
      <c r="C5" s="9" t="n">
        <v>6.11E-006</v>
      </c>
      <c r="D5" s="9" t="n">
        <v>6.7E-006</v>
      </c>
      <c r="E5" s="8" t="n">
        <v>0.000129</v>
      </c>
      <c r="F5" s="9" t="n">
        <v>6.5E-005</v>
      </c>
      <c r="G5" s="9" t="n">
        <v>3.39E-005</v>
      </c>
      <c r="H5" s="8" t="n">
        <v>0.000234</v>
      </c>
      <c r="I5" s="36" t="n">
        <v>0.00075</v>
      </c>
      <c r="J5" s="9" t="n">
        <v>0.000263</v>
      </c>
      <c r="K5" s="8" t="n">
        <v>2.22E-005</v>
      </c>
      <c r="L5" s="9" t="n">
        <v>2.27E-005</v>
      </c>
      <c r="M5" s="9" t="n">
        <v>7.68E-006</v>
      </c>
    </row>
    <row r="6" customFormat="false" ht="13.8" hidden="false" customHeight="false" outlineLevel="0" collapsed="false">
      <c r="A6" s="15" t="n">
        <v>6</v>
      </c>
      <c r="B6" s="8" t="n">
        <v>7.36E-007</v>
      </c>
      <c r="C6" s="9" t="n">
        <v>2.41E-006</v>
      </c>
      <c r="D6" s="9" t="n">
        <v>7.6E-006</v>
      </c>
      <c r="E6" s="8" t="n">
        <v>1.05E-005</v>
      </c>
      <c r="F6" s="9" t="n">
        <v>1.58E-005</v>
      </c>
      <c r="G6" s="9" t="n">
        <v>1.63E-005</v>
      </c>
      <c r="H6" s="8" t="n">
        <v>2.64E-005</v>
      </c>
      <c r="I6" s="9" t="n">
        <v>2.52E-005</v>
      </c>
      <c r="J6" s="9" t="n">
        <v>4.81E-005</v>
      </c>
      <c r="K6" s="8" t="n">
        <v>2.44E-006</v>
      </c>
      <c r="L6" s="9" t="n">
        <v>6.48E-007</v>
      </c>
      <c r="M6" s="9" t="n">
        <v>1.17E-006</v>
      </c>
    </row>
    <row r="7" customFormat="false" ht="13.8" hidden="false" customHeight="false" outlineLevel="0" collapsed="false">
      <c r="A7" s="15" t="n">
        <v>8</v>
      </c>
      <c r="B7" s="8" t="n">
        <v>8.11E-007</v>
      </c>
      <c r="C7" s="9" t="n">
        <v>2.93E-007</v>
      </c>
      <c r="D7" s="9" t="n">
        <v>5.47E-007</v>
      </c>
      <c r="E7" s="8" t="n">
        <v>2.28E-005</v>
      </c>
      <c r="F7" s="9" t="n">
        <v>2.54E-006</v>
      </c>
      <c r="G7" s="9" t="n">
        <v>3.71E-006</v>
      </c>
      <c r="H7" s="8" t="n">
        <v>2.67E-005</v>
      </c>
      <c r="I7" s="9" t="n">
        <v>1.33E-005</v>
      </c>
      <c r="J7" s="9" t="n">
        <v>2.68E-005</v>
      </c>
      <c r="K7" s="8" t="n">
        <v>1.06E-006</v>
      </c>
      <c r="L7" s="9" t="n">
        <v>2.36E-007</v>
      </c>
      <c r="M7" s="9" t="n">
        <v>1.02E-006</v>
      </c>
    </row>
    <row r="8" customFormat="false" ht="13.8" hidden="false" customHeight="false" outlineLevel="0" collapsed="false">
      <c r="A8" s="15" t="n">
        <v>24</v>
      </c>
      <c r="B8" s="11" t="n">
        <v>8.95999E-007</v>
      </c>
      <c r="C8" s="12" t="n">
        <v>1.1905E-006</v>
      </c>
      <c r="D8" s="12" t="n">
        <v>2.62364E-006</v>
      </c>
      <c r="E8" s="11" t="n">
        <v>6.55033E-006</v>
      </c>
      <c r="F8" s="12" t="n">
        <v>4.26211E-006</v>
      </c>
      <c r="G8" s="12" t="n">
        <v>9.19958E-006</v>
      </c>
      <c r="H8" s="11" t="n">
        <v>1.10929E-005</v>
      </c>
      <c r="I8" s="12" t="n">
        <v>5.10379E-006</v>
      </c>
      <c r="J8" s="12" t="n">
        <v>2.14301E-005</v>
      </c>
      <c r="K8" s="11" t="n">
        <v>8.24487E-007</v>
      </c>
      <c r="L8" s="12" t="n">
        <v>1.97725E-007</v>
      </c>
      <c r="M8" s="12" t="n">
        <v>0</v>
      </c>
    </row>
    <row r="9" customFormat="false" ht="13.8" hidden="false" customHeight="false" outlineLevel="0" collapsed="false">
      <c r="A9" s="1"/>
    </row>
    <row r="10" customFormat="false" ht="13.8" hidden="false" customHeight="false" outlineLevel="0" collapsed="false">
      <c r="A10" s="1"/>
      <c r="B10" s="35" t="s">
        <v>20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customFormat="false" ht="13.8" hidden="false" customHeight="false" outlineLevel="0" collapsed="false">
      <c r="A11" s="3" t="s">
        <v>10</v>
      </c>
      <c r="B11" s="22" t="s">
        <v>31</v>
      </c>
      <c r="C11" s="22" t="s">
        <v>32</v>
      </c>
      <c r="D11" s="22" t="s">
        <v>32</v>
      </c>
      <c r="E11" s="22" t="s">
        <v>33</v>
      </c>
      <c r="F11" s="22" t="s">
        <v>34</v>
      </c>
      <c r="G11" s="22" t="s">
        <v>35</v>
      </c>
      <c r="H11" s="22" t="s">
        <v>36</v>
      </c>
      <c r="I11" s="22" t="s">
        <v>37</v>
      </c>
      <c r="J11" s="22" t="s">
        <v>38</v>
      </c>
      <c r="K11" s="22" t="s">
        <v>39</v>
      </c>
      <c r="L11" s="22" t="s">
        <v>40</v>
      </c>
      <c r="M11" s="22" t="s">
        <v>41</v>
      </c>
    </row>
    <row r="12" customFormat="false" ht="13.8" hidden="false" customHeight="false" outlineLevel="0" collapsed="false">
      <c r="A12" s="3" t="n">
        <v>2</v>
      </c>
      <c r="B12" s="5" t="n">
        <v>0.000523</v>
      </c>
      <c r="C12" s="6" t="n">
        <v>0.00162</v>
      </c>
      <c r="D12" s="6" t="n">
        <v>0.000681</v>
      </c>
      <c r="E12" s="5" t="n">
        <v>0.000956</v>
      </c>
      <c r="F12" s="6" t="n">
        <v>0.003023</v>
      </c>
      <c r="G12" s="6" t="n">
        <v>0.00113</v>
      </c>
      <c r="H12" s="5" t="n">
        <v>0.001575</v>
      </c>
      <c r="I12" s="6" t="n">
        <v>0.004304</v>
      </c>
      <c r="J12" s="6" t="n">
        <v>0.002705</v>
      </c>
      <c r="K12" s="5" t="n">
        <v>0.00052</v>
      </c>
      <c r="L12" s="6" t="n">
        <v>0.001874</v>
      </c>
      <c r="M12" s="6" t="n">
        <v>0.000793</v>
      </c>
    </row>
    <row r="13" customFormat="false" ht="13.8" hidden="false" customHeight="false" outlineLevel="0" collapsed="false">
      <c r="A13" s="3" t="n">
        <v>3</v>
      </c>
      <c r="B13" s="8" t="n">
        <v>0.001069</v>
      </c>
      <c r="C13" s="9" t="n">
        <v>0.000565</v>
      </c>
      <c r="D13" s="9" t="n">
        <v>0.000162</v>
      </c>
      <c r="E13" s="8" t="n">
        <v>0.004979</v>
      </c>
      <c r="F13" s="9" t="n">
        <v>0.004809</v>
      </c>
      <c r="G13" s="9" t="n">
        <v>0.001371</v>
      </c>
      <c r="H13" s="8" t="n">
        <v>0.004979</v>
      </c>
      <c r="I13" s="9" t="n">
        <v>0.004044</v>
      </c>
      <c r="J13" s="9" t="n">
        <v>0.001631</v>
      </c>
      <c r="K13" s="8" t="n">
        <v>0.000874</v>
      </c>
      <c r="L13" s="9" t="n">
        <v>0.000676</v>
      </c>
      <c r="M13" s="9" t="n">
        <v>0.00026</v>
      </c>
    </row>
    <row r="14" customFormat="false" ht="13.8" hidden="false" customHeight="false" outlineLevel="0" collapsed="false">
      <c r="A14" s="3" t="n">
        <v>4</v>
      </c>
      <c r="B14" s="8" t="n">
        <v>0.00286</v>
      </c>
      <c r="C14" s="9" t="n">
        <v>0.004187</v>
      </c>
      <c r="D14" s="9" t="n">
        <v>0.003285</v>
      </c>
      <c r="E14" s="8" t="n">
        <v>0.019237</v>
      </c>
      <c r="F14" s="9" t="n">
        <v>0.013139</v>
      </c>
      <c r="G14" s="9" t="n">
        <v>0.013888</v>
      </c>
      <c r="H14" s="8" t="n">
        <v>0.025033</v>
      </c>
      <c r="I14" s="9" t="n">
        <v>0.025559</v>
      </c>
      <c r="J14" s="9" t="n">
        <v>0.022561</v>
      </c>
      <c r="K14" s="8" t="n">
        <v>0.000821</v>
      </c>
      <c r="L14" s="9" t="n">
        <v>0.008315</v>
      </c>
      <c r="M14" s="9" t="n">
        <v>0.007239</v>
      </c>
    </row>
    <row r="15" customFormat="false" ht="13.8" hidden="false" customHeight="false" outlineLevel="0" collapsed="false">
      <c r="A15" s="3" t="n">
        <v>6</v>
      </c>
      <c r="B15" s="8" t="n">
        <v>0.00135</v>
      </c>
      <c r="C15" s="9" t="n">
        <v>0.003006</v>
      </c>
      <c r="D15" s="9" t="n">
        <v>0.004412</v>
      </c>
      <c r="E15" s="8" t="n">
        <v>0.007327</v>
      </c>
      <c r="F15" s="9" t="n">
        <v>0.010127</v>
      </c>
      <c r="G15" s="9" t="n">
        <v>0.01509</v>
      </c>
      <c r="H15" s="8" t="n">
        <v>0.005083</v>
      </c>
      <c r="I15" s="9" t="n">
        <v>0.007793</v>
      </c>
      <c r="J15" s="9" t="n">
        <v>0.017941</v>
      </c>
      <c r="K15" s="8" t="n">
        <v>0.002577</v>
      </c>
      <c r="L15" s="9" t="n">
        <v>0.004729</v>
      </c>
      <c r="M15" s="9" t="n">
        <v>0.007148</v>
      </c>
    </row>
    <row r="16" customFormat="false" ht="13.8" hidden="false" customHeight="false" outlineLevel="0" collapsed="false">
      <c r="A16" s="3" t="n">
        <v>8</v>
      </c>
      <c r="B16" s="8" t="n">
        <v>0.003198</v>
      </c>
      <c r="C16" s="9" t="n">
        <v>0.003296</v>
      </c>
      <c r="D16" s="9" t="n">
        <v>0.003475</v>
      </c>
      <c r="E16" s="8" t="n">
        <v>0.009053</v>
      </c>
      <c r="F16" s="9" t="n">
        <v>0.005727</v>
      </c>
      <c r="G16" s="9" t="n">
        <v>0.007936</v>
      </c>
      <c r="H16" s="8" t="n">
        <v>0.003972</v>
      </c>
      <c r="I16" s="9" t="n">
        <v>0.006481</v>
      </c>
      <c r="J16" s="9" t="n">
        <v>0.008426</v>
      </c>
      <c r="K16" s="8" t="n">
        <v>0.002457</v>
      </c>
      <c r="L16" s="9" t="n">
        <v>0.003446</v>
      </c>
      <c r="M16" s="9" t="n">
        <v>0.00685</v>
      </c>
    </row>
    <row r="17" customFormat="false" ht="13.8" hidden="false" customHeight="false" outlineLevel="0" collapsed="false">
      <c r="A17" s="3" t="n">
        <v>24</v>
      </c>
      <c r="B17" s="11" t="n">
        <v>0.002152158</v>
      </c>
      <c r="C17" s="12" t="n">
        <v>0.001288582</v>
      </c>
      <c r="D17" s="12" t="n">
        <v>0.000904871</v>
      </c>
      <c r="E17" s="11" t="n">
        <v>0.004581387</v>
      </c>
      <c r="F17" s="12" t="n">
        <v>0.002387969</v>
      </c>
      <c r="G17" s="12" t="n">
        <v>0.002724109</v>
      </c>
      <c r="H17" s="11" t="n">
        <v>0.004215735</v>
      </c>
      <c r="I17" s="12" t="n">
        <v>0.002649618</v>
      </c>
      <c r="J17" s="12" t="n">
        <v>0.00289946</v>
      </c>
      <c r="K17" s="11" t="n">
        <v>0.001145347</v>
      </c>
      <c r="L17" s="12" t="n">
        <v>0.000956465</v>
      </c>
      <c r="M17" s="12" t="n">
        <v>0</v>
      </c>
    </row>
    <row r="18" customFormat="false" ht="13.8" hidden="false" customHeight="false" outlineLevel="0" collapsed="false">
      <c r="A18" s="1"/>
    </row>
    <row r="20" customFormat="false" ht="13.8" hidden="false" customHeight="false" outlineLevel="0" collapsed="false">
      <c r="A20" s="1"/>
      <c r="B20" s="35" t="s">
        <v>42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customFormat="false" ht="13.8" hidden="false" customHeight="false" outlineLevel="0" collapsed="false">
      <c r="A21" s="15" t="s">
        <v>10</v>
      </c>
      <c r="B21" s="22" t="s">
        <v>33</v>
      </c>
      <c r="C21" s="22" t="s">
        <v>34</v>
      </c>
      <c r="D21" s="22" t="s">
        <v>35</v>
      </c>
      <c r="E21" s="22" t="s">
        <v>36</v>
      </c>
      <c r="F21" s="22" t="s">
        <v>37</v>
      </c>
      <c r="G21" s="22" t="s">
        <v>38</v>
      </c>
      <c r="H21" s="22" t="s">
        <v>39</v>
      </c>
      <c r="I21" s="22" t="s">
        <v>40</v>
      </c>
      <c r="J21" s="22" t="s">
        <v>41</v>
      </c>
    </row>
    <row r="22" customFormat="false" ht="13.8" hidden="false" customHeight="false" outlineLevel="0" collapsed="false">
      <c r="A22" s="15" t="n">
        <v>2</v>
      </c>
      <c r="B22" s="5" t="n">
        <f aca="false">E3/B3</f>
        <v>4.94652406417112</v>
      </c>
      <c r="C22" s="5" t="n">
        <f aca="false">F3/C3</f>
        <v>20.6334841628959</v>
      </c>
      <c r="D22" s="5" t="n">
        <f aca="false">G3/D3</f>
        <v>13.248031496063</v>
      </c>
      <c r="E22" s="5" t="n">
        <f aca="false">H3/B3</f>
        <v>12.8877005347594</v>
      </c>
      <c r="F22" s="5" t="n">
        <f aca="false">I3/C3</f>
        <v>46.606334841629</v>
      </c>
      <c r="G22" s="5" t="n">
        <f aca="false">J3/D3</f>
        <v>15.9842519685039</v>
      </c>
      <c r="H22" s="5" t="n">
        <f aca="false">K3/B3</f>
        <v>0.893048128342246</v>
      </c>
      <c r="I22" s="5" t="n">
        <f aca="false">L3/C3</f>
        <v>3.38009049773756</v>
      </c>
      <c r="J22" s="5" t="n">
        <f aca="false">M3/D3</f>
        <v>1.6003937007874</v>
      </c>
    </row>
    <row r="23" customFormat="false" ht="13.8" hidden="false" customHeight="false" outlineLevel="0" collapsed="false">
      <c r="A23" s="15" t="n">
        <v>3</v>
      </c>
      <c r="B23" s="5" t="n">
        <f aca="false">E4/B4</f>
        <v>16</v>
      </c>
      <c r="C23" s="5" t="n">
        <f aca="false">F4/C4</f>
        <v>15.5727554179567</v>
      </c>
      <c r="D23" s="5" t="n">
        <f aca="false">G4/D4</f>
        <v>13.9269406392694</v>
      </c>
      <c r="E23" s="5" t="n">
        <f aca="false">H4/B4</f>
        <v>17.4054054054054</v>
      </c>
      <c r="F23" s="5" t="n">
        <f aca="false">I4/C4</f>
        <v>19.5665634674923</v>
      </c>
      <c r="G23" s="5" t="n">
        <f aca="false">J4/D4</f>
        <v>12.9223744292237</v>
      </c>
      <c r="H23" s="5" t="n">
        <f aca="false">K4/B4</f>
        <v>0</v>
      </c>
      <c r="I23" s="5" t="n">
        <f aca="false">L4/C4</f>
        <v>0</v>
      </c>
      <c r="J23" s="5" t="n">
        <f aca="false">M4/D4</f>
        <v>0</v>
      </c>
    </row>
    <row r="24" customFormat="false" ht="13.8" hidden="false" customHeight="false" outlineLevel="0" collapsed="false">
      <c r="A24" s="15" t="n">
        <v>4</v>
      </c>
      <c r="B24" s="5" t="n">
        <f aca="false">E5/B5</f>
        <v>12.5242718446602</v>
      </c>
      <c r="C24" s="5" t="n">
        <f aca="false">F5/C5</f>
        <v>10.6382978723404</v>
      </c>
      <c r="D24" s="5" t="n">
        <f aca="false">G5/D5</f>
        <v>5.05970149253731</v>
      </c>
      <c r="E24" s="5" t="n">
        <f aca="false">H5/B5</f>
        <v>22.7184466019417</v>
      </c>
      <c r="F24" s="5" t="n">
        <f aca="false">I5/C5</f>
        <v>122.749590834697</v>
      </c>
      <c r="G24" s="5" t="n">
        <f aca="false">J5/D5</f>
        <v>39.2537313432836</v>
      </c>
      <c r="H24" s="5" t="n">
        <f aca="false">K5/B5</f>
        <v>2.15533980582524</v>
      </c>
      <c r="I24" s="5" t="n">
        <f aca="false">L5/C5</f>
        <v>3.7152209492635</v>
      </c>
      <c r="J24" s="5" t="n">
        <f aca="false">M5/D5</f>
        <v>1.14626865671642</v>
      </c>
    </row>
    <row r="25" customFormat="false" ht="13.8" hidden="false" customHeight="false" outlineLevel="0" collapsed="false">
      <c r="A25" s="15" t="n">
        <v>6</v>
      </c>
      <c r="B25" s="5" t="n">
        <f aca="false">E6/B6</f>
        <v>14.2663043478261</v>
      </c>
      <c r="C25" s="5" t="n">
        <f aca="false">F6/C6</f>
        <v>6.55601659751037</v>
      </c>
      <c r="D25" s="5" t="n">
        <f aca="false">G6/D6</f>
        <v>2.14473684210526</v>
      </c>
      <c r="E25" s="5" t="n">
        <f aca="false">H6/B6</f>
        <v>35.8695652173913</v>
      </c>
      <c r="F25" s="5" t="n">
        <f aca="false">I6/C6</f>
        <v>10.4564315352697</v>
      </c>
      <c r="G25" s="5" t="n">
        <f aca="false">J6/D6</f>
        <v>6.32894736842105</v>
      </c>
      <c r="H25" s="5" t="n">
        <f aca="false">K6/B6</f>
        <v>3.31521739130435</v>
      </c>
      <c r="I25" s="5" t="n">
        <f aca="false">L6/C6</f>
        <v>0.268879668049793</v>
      </c>
      <c r="J25" s="5" t="n">
        <f aca="false">M6/D6</f>
        <v>0.153947368421053</v>
      </c>
    </row>
    <row r="26" customFormat="false" ht="13.8" hidden="false" customHeight="false" outlineLevel="0" collapsed="false">
      <c r="A26" s="15" t="n">
        <v>8</v>
      </c>
      <c r="B26" s="5" t="n">
        <f aca="false">E7/B7</f>
        <v>28.1134401972873</v>
      </c>
      <c r="C26" s="5" t="n">
        <f aca="false">F7/C7</f>
        <v>8.66894197952218</v>
      </c>
      <c r="D26" s="5" t="n">
        <f aca="false">G7/D7</f>
        <v>6.78244972577697</v>
      </c>
      <c r="E26" s="5" t="n">
        <f aca="false">H7/B7</f>
        <v>32.9223181257707</v>
      </c>
      <c r="F26" s="5" t="n">
        <f aca="false">I7/C7</f>
        <v>45.3924914675768</v>
      </c>
      <c r="G26" s="5" t="n">
        <f aca="false">J7/D7</f>
        <v>48.9945155393053</v>
      </c>
      <c r="H26" s="5" t="n">
        <f aca="false">K7/B7</f>
        <v>1.30702836004932</v>
      </c>
      <c r="I26" s="5" t="n">
        <f aca="false">L7/C7</f>
        <v>0.805460750853242</v>
      </c>
      <c r="J26" s="5" t="n">
        <f aca="false">M7/D7</f>
        <v>1.86471663619744</v>
      </c>
    </row>
    <row r="27" customFormat="false" ht="13.8" hidden="false" customHeight="false" outlineLevel="0" collapsed="false">
      <c r="A27" s="15" t="n">
        <v>24</v>
      </c>
      <c r="B27" s="5" t="n">
        <f aca="false">E8/B8</f>
        <v>7.31064431991554</v>
      </c>
      <c r="C27" s="5" t="n">
        <f aca="false">F8/C8</f>
        <v>3.58010079798404</v>
      </c>
      <c r="D27" s="5" t="n">
        <f aca="false">G8/D8</f>
        <v>3.50641856352243</v>
      </c>
      <c r="E27" s="5" t="n">
        <f aca="false">H8/B8</f>
        <v>12.3804825675029</v>
      </c>
      <c r="F27" s="5" t="n">
        <f aca="false">I8/C8</f>
        <v>4.28709785804284</v>
      </c>
      <c r="G27" s="5" t="n">
        <f aca="false">J8/D8</f>
        <v>8.16807946212133</v>
      </c>
      <c r="H27" s="5" t="n">
        <f aca="false">K8/B8</f>
        <v>0.92018741092345</v>
      </c>
      <c r="I27" s="5" t="n">
        <f aca="false">L8/C8</f>
        <v>0.166085678286434</v>
      </c>
      <c r="J27" s="5" t="n">
        <f aca="false">M8/D8</f>
        <v>0</v>
      </c>
    </row>
    <row r="28" customFormat="false" ht="13.8" hidden="false" customHeight="false" outlineLevel="0" collapsed="false">
      <c r="A28" s="1"/>
    </row>
    <row r="29" customFormat="false" ht="13.8" hidden="false" customHeight="false" outlineLevel="0" collapsed="false">
      <c r="A29" s="1"/>
      <c r="B29" s="35" t="s">
        <v>43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customFormat="false" ht="13.8" hidden="false" customHeight="false" outlineLevel="0" collapsed="false">
      <c r="A30" s="3" t="s">
        <v>10</v>
      </c>
      <c r="B30" s="22" t="s">
        <v>33</v>
      </c>
      <c r="C30" s="22" t="s">
        <v>34</v>
      </c>
      <c r="D30" s="22" t="s">
        <v>35</v>
      </c>
      <c r="E30" s="22" t="s">
        <v>36</v>
      </c>
      <c r="F30" s="22" t="s">
        <v>37</v>
      </c>
      <c r="G30" s="22" t="s">
        <v>38</v>
      </c>
      <c r="H30" s="22" t="s">
        <v>39</v>
      </c>
      <c r="I30" s="22" t="s">
        <v>40</v>
      </c>
      <c r="J30" s="22" t="s">
        <v>41</v>
      </c>
    </row>
    <row r="31" customFormat="false" ht="13.8" hidden="false" customHeight="false" outlineLevel="0" collapsed="false">
      <c r="A31" s="3" t="n">
        <v>2</v>
      </c>
      <c r="B31" s="5" t="n">
        <f aca="false">E12/B12</f>
        <v>1.82791586998088</v>
      </c>
      <c r="C31" s="5" t="n">
        <f aca="false">F12/C12</f>
        <v>1.86604938271605</v>
      </c>
      <c r="D31" s="5" t="n">
        <f aca="false">G12/D12</f>
        <v>1.65932452276065</v>
      </c>
      <c r="E31" s="5" t="n">
        <f aca="false">H12/B12</f>
        <v>3.01147227533461</v>
      </c>
      <c r="F31" s="5" t="n">
        <f aca="false">I12/C12</f>
        <v>2.65679012345679</v>
      </c>
      <c r="G31" s="5" t="n">
        <f aca="false">J12/D12</f>
        <v>3.97209985315712</v>
      </c>
      <c r="H31" s="5" t="n">
        <f aca="false">K12/B12</f>
        <v>0.994263862332696</v>
      </c>
      <c r="I31" s="5" t="n">
        <f aca="false">L12/C12</f>
        <v>1.15679012345679</v>
      </c>
      <c r="J31" s="5" t="n">
        <f aca="false">M12/D12</f>
        <v>1.16446402349486</v>
      </c>
    </row>
    <row r="32" customFormat="false" ht="13.8" hidden="false" customHeight="false" outlineLevel="0" collapsed="false">
      <c r="A32" s="3" t="n">
        <v>3</v>
      </c>
      <c r="B32" s="5" t="n">
        <f aca="false">E13/B13</f>
        <v>4.65762394761459</v>
      </c>
      <c r="C32" s="5" t="n">
        <f aca="false">F13/C13</f>
        <v>8.51150442477876</v>
      </c>
      <c r="D32" s="5" t="n">
        <f aca="false">G13/D13</f>
        <v>8.46296296296296</v>
      </c>
      <c r="E32" s="5" t="n">
        <f aca="false">H13/B13</f>
        <v>4.65762394761459</v>
      </c>
      <c r="F32" s="5" t="n">
        <f aca="false">I13/C13</f>
        <v>7.15752212389381</v>
      </c>
      <c r="G32" s="5" t="n">
        <f aca="false">J13/D13</f>
        <v>10.0679012345679</v>
      </c>
      <c r="H32" s="5" t="n">
        <f aca="false">K13/B13</f>
        <v>0.817586529466791</v>
      </c>
      <c r="I32" s="5" t="n">
        <f aca="false">L13/C13</f>
        <v>1.19646017699115</v>
      </c>
      <c r="J32" s="5" t="n">
        <f aca="false">M13/D13</f>
        <v>1.60493827160494</v>
      </c>
    </row>
    <row r="33" customFormat="false" ht="13.8" hidden="false" customHeight="false" outlineLevel="0" collapsed="false">
      <c r="A33" s="3" t="n">
        <v>4</v>
      </c>
      <c r="B33" s="5" t="n">
        <f aca="false">E14/B14</f>
        <v>6.72622377622378</v>
      </c>
      <c r="C33" s="5" t="n">
        <f aca="false">F14/C14</f>
        <v>3.13804633389061</v>
      </c>
      <c r="D33" s="5" t="n">
        <f aca="false">G14/D14</f>
        <v>4.22770167427702</v>
      </c>
      <c r="E33" s="5" t="n">
        <f aca="false">H14/B14</f>
        <v>8.7527972027972</v>
      </c>
      <c r="F33" s="5" t="n">
        <f aca="false">I14/C14</f>
        <v>6.10437067112491</v>
      </c>
      <c r="G33" s="5" t="n">
        <f aca="false">J14/D14</f>
        <v>6.86788432267884</v>
      </c>
      <c r="H33" s="5" t="n">
        <f aca="false">K14/B14</f>
        <v>0.287062937062937</v>
      </c>
      <c r="I33" s="5" t="n">
        <f aca="false">L14/C14</f>
        <v>1.9859087652257</v>
      </c>
      <c r="J33" s="5" t="n">
        <f aca="false">M14/D14</f>
        <v>2.20365296803653</v>
      </c>
    </row>
    <row r="34" customFormat="false" ht="13.8" hidden="false" customHeight="false" outlineLevel="0" collapsed="false">
      <c r="A34" s="3" t="n">
        <v>6</v>
      </c>
      <c r="B34" s="5" t="n">
        <f aca="false">E15/B15</f>
        <v>5.42740740740741</v>
      </c>
      <c r="C34" s="5" t="n">
        <f aca="false">F15/C15</f>
        <v>3.36892880904857</v>
      </c>
      <c r="D34" s="5" t="n">
        <f aca="false">G15/D15</f>
        <v>3.42021758839529</v>
      </c>
      <c r="E34" s="5" t="n">
        <f aca="false">H15/B15</f>
        <v>3.76518518518518</v>
      </c>
      <c r="F34" s="5" t="n">
        <f aca="false">I15/C15</f>
        <v>2.59248170326015</v>
      </c>
      <c r="G34" s="5" t="n">
        <f aca="false">J15/D15</f>
        <v>4.06640979147779</v>
      </c>
      <c r="H34" s="5" t="n">
        <f aca="false">K15/B15</f>
        <v>1.90888888888889</v>
      </c>
      <c r="I34" s="5" t="n">
        <f aca="false">L15/C15</f>
        <v>1.5731869594145</v>
      </c>
      <c r="J34" s="5" t="n">
        <f aca="false">M15/D15</f>
        <v>1.62012692656392</v>
      </c>
    </row>
    <row r="35" customFormat="false" ht="13.8" hidden="false" customHeight="false" outlineLevel="0" collapsed="false">
      <c r="A35" s="3" t="n">
        <v>8</v>
      </c>
      <c r="B35" s="5" t="n">
        <f aca="false">E16/B16</f>
        <v>2.83083176985616</v>
      </c>
      <c r="C35" s="5" t="n">
        <f aca="false">F16/C16</f>
        <v>1.73756067961165</v>
      </c>
      <c r="D35" s="5" t="n">
        <f aca="false">G16/D16</f>
        <v>2.28374100719424</v>
      </c>
      <c r="E35" s="5" t="n">
        <f aca="false">H16/B16</f>
        <v>1.24202626641651</v>
      </c>
      <c r="F35" s="5" t="n">
        <f aca="false">I16/C16</f>
        <v>1.96632281553398</v>
      </c>
      <c r="G35" s="5" t="n">
        <f aca="false">J16/D16</f>
        <v>2.42474820143885</v>
      </c>
      <c r="H35" s="5" t="n">
        <f aca="false">K16/B16</f>
        <v>0.768292682926829</v>
      </c>
      <c r="I35" s="5" t="n">
        <f aca="false">L16/C16</f>
        <v>1.04550970873786</v>
      </c>
      <c r="J35" s="5" t="n">
        <f aca="false">M16/D16</f>
        <v>1.97122302158273</v>
      </c>
    </row>
    <row r="36" customFormat="false" ht="13.8" hidden="false" customHeight="false" outlineLevel="0" collapsed="false">
      <c r="A36" s="3" t="n">
        <v>24</v>
      </c>
      <c r="B36" s="5" t="n">
        <f aca="false">E17/B17</f>
        <v>2.12874101250931</v>
      </c>
      <c r="C36" s="5" t="n">
        <f aca="false">F17/C17</f>
        <v>1.85317581651769</v>
      </c>
      <c r="D36" s="5" t="n">
        <f aca="false">G17/D17</f>
        <v>3.01049431355409</v>
      </c>
      <c r="E36" s="5" t="n">
        <f aca="false">H17/B17</f>
        <v>1.95884084718687</v>
      </c>
      <c r="F36" s="5" t="n">
        <f aca="false">I17/C17</f>
        <v>2.05622769835369</v>
      </c>
      <c r="G36" s="5" t="n">
        <f aca="false">J17/D17</f>
        <v>3.20427994708638</v>
      </c>
      <c r="H36" s="5" t="n">
        <f aca="false">K17/B17</f>
        <v>0.532185369289801</v>
      </c>
      <c r="I36" s="5" t="n">
        <f aca="false">L17/C17</f>
        <v>0.742261648851218</v>
      </c>
      <c r="J36" s="5" t="n">
        <f aca="false">M17/D17</f>
        <v>0</v>
      </c>
    </row>
    <row r="39" customFormat="false" ht="13.8" hidden="false" customHeight="false" outlineLevel="0" collapsed="false">
      <c r="A39" s="1"/>
      <c r="B39" s="35" t="s">
        <v>44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customFormat="false" ht="13.8" hidden="false" customHeight="false" outlineLevel="0" collapsed="false">
      <c r="A40" s="15" t="s">
        <v>10</v>
      </c>
      <c r="B40" s="22" t="s">
        <v>31</v>
      </c>
      <c r="C40" s="22" t="s">
        <v>32</v>
      </c>
      <c r="D40" s="22" t="s">
        <v>32</v>
      </c>
      <c r="E40" s="22" t="s">
        <v>33</v>
      </c>
      <c r="F40" s="22" t="s">
        <v>34</v>
      </c>
      <c r="G40" s="22" t="s">
        <v>35</v>
      </c>
      <c r="H40" s="22" t="s">
        <v>45</v>
      </c>
      <c r="I40" s="22" t="s">
        <v>46</v>
      </c>
      <c r="J40" s="22" t="s">
        <v>47</v>
      </c>
      <c r="K40" s="1" t="s">
        <v>48</v>
      </c>
      <c r="L40" s="22" t="s">
        <v>36</v>
      </c>
      <c r="M40" s="22" t="s">
        <v>37</v>
      </c>
      <c r="N40" s="22" t="s">
        <v>38</v>
      </c>
      <c r="O40" s="22" t="s">
        <v>49</v>
      </c>
      <c r="P40" s="22" t="s">
        <v>50</v>
      </c>
      <c r="Q40" s="22" t="s">
        <v>51</v>
      </c>
      <c r="R40" s="1" t="s">
        <v>52</v>
      </c>
      <c r="S40" s="22" t="s">
        <v>39</v>
      </c>
      <c r="T40" s="22" t="s">
        <v>40</v>
      </c>
      <c r="U40" s="22" t="s">
        <v>41</v>
      </c>
      <c r="V40" s="22" t="s">
        <v>53</v>
      </c>
      <c r="W40" s="22" t="s">
        <v>54</v>
      </c>
      <c r="X40" s="22" t="s">
        <v>55</v>
      </c>
      <c r="Y40" s="1" t="s">
        <v>56</v>
      </c>
    </row>
    <row r="41" customFormat="false" ht="13.8" hidden="false" customHeight="false" outlineLevel="0" collapsed="false">
      <c r="A41" s="15" t="n">
        <v>2</v>
      </c>
      <c r="B41" s="5" t="n">
        <v>3.74E-006</v>
      </c>
      <c r="C41" s="6" t="n">
        <v>2.21E-006</v>
      </c>
      <c r="D41" s="6" t="n">
        <v>5.08E-007</v>
      </c>
      <c r="E41" s="5" t="n">
        <v>1.85E-005</v>
      </c>
      <c r="F41" s="6" t="n">
        <v>4.56E-005</v>
      </c>
      <c r="G41" s="6" t="n">
        <v>6.73E-006</v>
      </c>
      <c r="H41" s="6" t="n">
        <v>8.58E-006</v>
      </c>
      <c r="I41" s="6"/>
      <c r="J41" s="6"/>
      <c r="K41" s="7"/>
      <c r="L41" s="5" t="n">
        <v>4.82E-005</v>
      </c>
      <c r="M41" s="6" t="n">
        <v>0.000103</v>
      </c>
      <c r="N41" s="6" t="n">
        <v>8.12E-006</v>
      </c>
      <c r="O41" s="6" t="n">
        <v>1.62E-005</v>
      </c>
      <c r="P41" s="6"/>
      <c r="Q41" s="6"/>
      <c r="R41" s="7"/>
      <c r="S41" s="5" t="n">
        <v>3.34E-006</v>
      </c>
      <c r="T41" s="6" t="n">
        <v>7.47E-006</v>
      </c>
      <c r="U41" s="6" t="n">
        <v>8.13E-007</v>
      </c>
      <c r="V41" s="6" t="n">
        <v>5.58504E-006</v>
      </c>
      <c r="W41" s="6"/>
      <c r="X41" s="6"/>
      <c r="Y41" s="7"/>
    </row>
    <row r="42" customFormat="false" ht="13.8" hidden="false" customHeight="false" outlineLevel="0" collapsed="false">
      <c r="A42" s="15" t="n">
        <v>3</v>
      </c>
      <c r="B42" s="8" t="n">
        <v>1.85E-005</v>
      </c>
      <c r="C42" s="9" t="n">
        <v>3.23E-006</v>
      </c>
      <c r="D42" s="9" t="n">
        <v>4.38E-006</v>
      </c>
      <c r="E42" s="8" t="n">
        <v>0.000296</v>
      </c>
      <c r="F42" s="9" t="n">
        <v>5.03E-005</v>
      </c>
      <c r="G42" s="9" t="n">
        <v>6.1E-005</v>
      </c>
      <c r="H42" s="9" t="n">
        <v>2.25E-005</v>
      </c>
      <c r="I42" s="9"/>
      <c r="J42" s="9"/>
      <c r="K42" s="10"/>
      <c r="L42" s="8" t="n">
        <v>0.000322</v>
      </c>
      <c r="M42" s="9" t="n">
        <v>6.32E-005</v>
      </c>
      <c r="N42" s="9" t="n">
        <v>5.66E-005</v>
      </c>
      <c r="O42" s="9" t="n">
        <v>1.65823E-005</v>
      </c>
      <c r="P42" s="9"/>
      <c r="Q42" s="9"/>
      <c r="R42" s="10"/>
      <c r="S42" s="8" t="n">
        <v>1.74E-005</v>
      </c>
      <c r="T42" s="9" t="n">
        <v>1.05E-006</v>
      </c>
      <c r="U42" s="9" t="n">
        <v>2.13E-006</v>
      </c>
      <c r="V42" s="9" t="n">
        <v>2.3E-006</v>
      </c>
      <c r="W42" s="9"/>
      <c r="X42" s="9"/>
      <c r="Y42" s="10"/>
    </row>
    <row r="43" customFormat="false" ht="13.8" hidden="false" customHeight="false" outlineLevel="0" collapsed="false">
      <c r="A43" s="15" t="n">
        <v>4</v>
      </c>
      <c r="B43" s="8" t="n">
        <v>1.03E-005</v>
      </c>
      <c r="C43" s="9" t="n">
        <v>6.11E-006</v>
      </c>
      <c r="D43" s="9" t="n">
        <v>6.7E-006</v>
      </c>
      <c r="E43" s="8" t="n">
        <v>0.000129</v>
      </c>
      <c r="F43" s="9" t="n">
        <v>6.5E-005</v>
      </c>
      <c r="G43" s="9" t="n">
        <v>3.39E-005</v>
      </c>
      <c r="H43" s="9" t="n">
        <v>1.59E-005</v>
      </c>
      <c r="I43" s="9" t="n">
        <v>9.59E-006</v>
      </c>
      <c r="J43" s="9" t="n">
        <v>7.12E-006</v>
      </c>
      <c r="K43" s="10" t="n">
        <v>4.03E-006</v>
      </c>
      <c r="L43" s="8" t="n">
        <v>0.000234</v>
      </c>
      <c r="M43" s="36" t="n">
        <v>0.00075</v>
      </c>
      <c r="N43" s="9" t="n">
        <v>0.000263</v>
      </c>
      <c r="O43" s="9" t="n">
        <v>2.88714E-005</v>
      </c>
      <c r="P43" s="9" t="n">
        <v>1.04E-005</v>
      </c>
      <c r="Q43" s="9" t="n">
        <v>1.09E-005</v>
      </c>
      <c r="R43" s="10" t="n">
        <v>5.14E-006</v>
      </c>
      <c r="S43" s="8" t="n">
        <v>2.22E-005</v>
      </c>
      <c r="T43" s="9" t="n">
        <v>2.27E-005</v>
      </c>
      <c r="U43" s="9" t="n">
        <v>7.68E-006</v>
      </c>
      <c r="V43" s="9" t="n">
        <v>2.93E-006</v>
      </c>
      <c r="W43" s="9" t="n">
        <v>5.94E-006</v>
      </c>
      <c r="X43" s="9" t="n">
        <v>4.6E-006</v>
      </c>
      <c r="Y43" s="10" t="n">
        <v>3.63E-006</v>
      </c>
    </row>
    <row r="44" customFormat="false" ht="13.8" hidden="false" customHeight="false" outlineLevel="0" collapsed="false">
      <c r="A44" s="15" t="n">
        <v>6</v>
      </c>
      <c r="B44" s="8" t="n">
        <v>7.36E-007</v>
      </c>
      <c r="C44" s="9" t="n">
        <v>2.41E-006</v>
      </c>
      <c r="D44" s="9" t="n">
        <v>7.6E-006</v>
      </c>
      <c r="E44" s="8" t="n">
        <v>1.05E-005</v>
      </c>
      <c r="F44" s="9" t="n">
        <v>1.58E-005</v>
      </c>
      <c r="G44" s="9" t="n">
        <v>1.63E-005</v>
      </c>
      <c r="L44" s="8" t="n">
        <v>2.64E-005</v>
      </c>
      <c r="M44" s="9" t="n">
        <v>2.52E-005</v>
      </c>
      <c r="N44" s="9" t="n">
        <v>4.81E-005</v>
      </c>
      <c r="O44" s="8"/>
      <c r="P44" s="9"/>
      <c r="Q44" s="9"/>
      <c r="S44" s="8" t="n">
        <v>2.44E-006</v>
      </c>
      <c r="T44" s="9" t="n">
        <v>6.48E-007</v>
      </c>
      <c r="U44" s="9" t="n">
        <v>1.17E-006</v>
      </c>
    </row>
    <row r="45" customFormat="false" ht="13.8" hidden="false" customHeight="false" outlineLevel="0" collapsed="false">
      <c r="A45" s="15" t="n">
        <v>8</v>
      </c>
      <c r="B45" s="8" t="n">
        <v>8.11E-007</v>
      </c>
      <c r="C45" s="9" t="n">
        <v>2.93E-007</v>
      </c>
      <c r="D45" s="9" t="n">
        <v>2.47E-007</v>
      </c>
      <c r="E45" s="8" t="n">
        <v>2.28E-005</v>
      </c>
      <c r="F45" s="9" t="n">
        <v>2.54E-006</v>
      </c>
      <c r="G45" s="9" t="n">
        <v>3.71E-006</v>
      </c>
      <c r="L45" s="8" t="n">
        <v>2.67E-005</v>
      </c>
      <c r="M45" s="9" t="n">
        <v>1.33E-005</v>
      </c>
      <c r="N45" s="9" t="n">
        <v>2.68E-005</v>
      </c>
      <c r="O45" s="8"/>
      <c r="P45" s="9"/>
      <c r="Q45" s="9"/>
      <c r="S45" s="8" t="n">
        <v>1.06E-006</v>
      </c>
      <c r="T45" s="9" t="n">
        <v>2.36E-007</v>
      </c>
      <c r="U45" s="9" t="n">
        <v>1.02E-006</v>
      </c>
    </row>
    <row r="46" customFormat="false" ht="13.8" hidden="false" customHeight="false" outlineLevel="0" collapsed="false">
      <c r="A46" s="15" t="n">
        <v>24</v>
      </c>
      <c r="B46" s="11" t="n">
        <v>8.95999E-007</v>
      </c>
      <c r="C46" s="12" t="n">
        <v>1.1905E-006</v>
      </c>
      <c r="D46" s="12" t="n">
        <v>2.62364E-006</v>
      </c>
      <c r="E46" s="11" t="n">
        <v>6.55033E-006</v>
      </c>
      <c r="F46" s="12" t="n">
        <v>4.26211E-006</v>
      </c>
      <c r="G46" s="12" t="n">
        <v>9.19958E-006</v>
      </c>
      <c r="L46" s="11" t="n">
        <v>1.10929E-005</v>
      </c>
      <c r="M46" s="12" t="n">
        <v>5.10379E-006</v>
      </c>
      <c r="N46" s="12" t="n">
        <v>2.14301E-005</v>
      </c>
      <c r="O46" s="11"/>
      <c r="P46" s="12"/>
      <c r="Q46" s="12"/>
      <c r="S46" s="11" t="n">
        <v>8.24487E-007</v>
      </c>
      <c r="T46" s="12" t="n">
        <v>1.97725E-007</v>
      </c>
      <c r="U46" s="12" t="n">
        <v>0</v>
      </c>
    </row>
    <row r="47" customFormat="false" ht="13.8" hidden="false" customHeight="false" outlineLevel="0" collapsed="false">
      <c r="A47" s="1"/>
    </row>
    <row r="48" customFormat="false" ht="13.8" hidden="false" customHeight="false" outlineLevel="0" collapsed="false">
      <c r="A48" s="1"/>
      <c r="B48" s="35" t="s">
        <v>57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customFormat="false" ht="13.8" hidden="false" customHeight="false" outlineLevel="0" collapsed="false">
      <c r="A49" s="3" t="s">
        <v>10</v>
      </c>
      <c r="B49" s="22" t="s">
        <v>31</v>
      </c>
      <c r="C49" s="22" t="s">
        <v>32</v>
      </c>
      <c r="D49" s="22" t="s">
        <v>32</v>
      </c>
      <c r="E49" s="22" t="s">
        <v>33</v>
      </c>
      <c r="F49" s="22" t="s">
        <v>34</v>
      </c>
      <c r="G49" s="22" t="s">
        <v>35</v>
      </c>
      <c r="H49" s="1" t="s">
        <v>45</v>
      </c>
      <c r="I49" s="22" t="s">
        <v>36</v>
      </c>
      <c r="J49" s="22" t="s">
        <v>37</v>
      </c>
      <c r="K49" s="22" t="s">
        <v>38</v>
      </c>
      <c r="L49" s="1" t="s">
        <v>49</v>
      </c>
      <c r="M49" s="22" t="s">
        <v>39</v>
      </c>
      <c r="N49" s="22" t="s">
        <v>40</v>
      </c>
      <c r="O49" s="22" t="s">
        <v>41</v>
      </c>
      <c r="P49" s="22" t="s">
        <v>53</v>
      </c>
    </row>
    <row r="50" customFormat="false" ht="13.8" hidden="false" customHeight="false" outlineLevel="0" collapsed="false">
      <c r="A50" s="3" t="n">
        <v>2</v>
      </c>
      <c r="B50" s="5" t="n">
        <v>0.000523</v>
      </c>
      <c r="C50" s="6" t="n">
        <v>0.00162</v>
      </c>
      <c r="D50" s="6" t="n">
        <v>0.000681</v>
      </c>
      <c r="E50" s="5" t="n">
        <v>0.000956</v>
      </c>
      <c r="F50" s="6" t="n">
        <v>0.003023</v>
      </c>
      <c r="G50" s="6" t="n">
        <v>0.00113</v>
      </c>
      <c r="H50" s="6" t="n">
        <v>0.003285</v>
      </c>
      <c r="I50" s="5" t="n">
        <v>0.001575</v>
      </c>
      <c r="J50" s="6" t="n">
        <v>0.004304</v>
      </c>
      <c r="K50" s="6" t="n">
        <v>0.002705</v>
      </c>
      <c r="L50" s="6" t="n">
        <v>0.004979</v>
      </c>
      <c r="M50" s="5" t="n">
        <v>0.00052</v>
      </c>
      <c r="N50" s="6" t="n">
        <v>0.001874</v>
      </c>
      <c r="O50" s="6" t="n">
        <v>0.000793</v>
      </c>
      <c r="P50" s="6" t="n">
        <v>0.00182233</v>
      </c>
    </row>
    <row r="51" customFormat="false" ht="13.8" hidden="false" customHeight="false" outlineLevel="0" collapsed="false">
      <c r="A51" s="3" t="n">
        <v>3</v>
      </c>
      <c r="B51" s="8" t="n">
        <v>0.001069</v>
      </c>
      <c r="C51" s="9" t="n">
        <v>0.000565</v>
      </c>
      <c r="D51" s="9" t="n">
        <v>0.000162</v>
      </c>
      <c r="E51" s="8" t="n">
        <v>0.004979</v>
      </c>
      <c r="F51" s="9" t="n">
        <v>0.004809</v>
      </c>
      <c r="G51" s="9" t="n">
        <v>0.001371</v>
      </c>
      <c r="H51" s="9" t="n">
        <v>0.008669</v>
      </c>
      <c r="I51" s="8" t="n">
        <v>0.004979</v>
      </c>
      <c r="J51" s="9" t="n">
        <v>0.004044</v>
      </c>
      <c r="K51" s="9" t="n">
        <v>0.001631</v>
      </c>
      <c r="L51" s="9" t="n">
        <v>0.01016673</v>
      </c>
      <c r="M51" s="8" t="n">
        <v>0.000874</v>
      </c>
      <c r="N51" s="9" t="n">
        <v>0.000676</v>
      </c>
      <c r="O51" s="9" t="n">
        <v>0.00026</v>
      </c>
      <c r="P51" s="9" t="n">
        <v>0.001245</v>
      </c>
    </row>
    <row r="52" customFormat="false" ht="13.8" hidden="false" customHeight="false" outlineLevel="0" collapsed="false">
      <c r="A52" s="3" t="n">
        <v>4</v>
      </c>
      <c r="B52" s="8" t="n">
        <v>0.00286</v>
      </c>
      <c r="C52" s="9" t="n">
        <v>0.004187</v>
      </c>
      <c r="D52" s="9" t="n">
        <v>0.003285</v>
      </c>
      <c r="E52" s="8" t="n">
        <v>0.019237</v>
      </c>
      <c r="F52" s="9" t="n">
        <v>0.013139</v>
      </c>
      <c r="G52" s="9" t="n">
        <v>0.013888</v>
      </c>
      <c r="H52" s="9" t="n">
        <v>0.011842</v>
      </c>
      <c r="I52" s="8" t="n">
        <v>0.025033</v>
      </c>
      <c r="J52" s="9" t="n">
        <v>0.025559</v>
      </c>
      <c r="K52" s="9" t="n">
        <v>0.022561</v>
      </c>
      <c r="L52" s="9" t="n">
        <v>0.01388817</v>
      </c>
      <c r="M52" s="8" t="n">
        <v>0.000821</v>
      </c>
      <c r="N52" s="9" t="n">
        <v>0.008315</v>
      </c>
      <c r="O52" s="9" t="n">
        <v>0.007239</v>
      </c>
      <c r="P52" s="9" t="n">
        <v>0.003044</v>
      </c>
    </row>
    <row r="53" customFormat="false" ht="13.8" hidden="false" customHeight="false" outlineLevel="0" collapsed="false">
      <c r="A53" s="3" t="n">
        <v>6</v>
      </c>
      <c r="B53" s="8" t="n">
        <v>0.00135</v>
      </c>
      <c r="C53" s="9" t="n">
        <v>0.003006</v>
      </c>
      <c r="D53" s="9" t="n">
        <v>0.004412</v>
      </c>
      <c r="E53" s="8" t="n">
        <v>0.007327</v>
      </c>
      <c r="F53" s="9" t="n">
        <v>0.010127</v>
      </c>
      <c r="G53" s="9" t="n">
        <v>0.01509</v>
      </c>
      <c r="I53" s="8" t="n">
        <v>0.005083</v>
      </c>
      <c r="J53" s="9" t="n">
        <v>0.007793</v>
      </c>
      <c r="K53" s="9" t="n">
        <v>0.017941</v>
      </c>
      <c r="M53" s="8" t="n">
        <v>0.002577</v>
      </c>
      <c r="N53" s="9" t="n">
        <v>0.004729</v>
      </c>
      <c r="O53" s="9" t="n">
        <v>0.007148</v>
      </c>
    </row>
    <row r="54" customFormat="false" ht="13.8" hidden="false" customHeight="false" outlineLevel="0" collapsed="false">
      <c r="A54" s="3" t="n">
        <v>8</v>
      </c>
      <c r="B54" s="8" t="n">
        <v>0.003198</v>
      </c>
      <c r="C54" s="9" t="n">
        <v>0.003296</v>
      </c>
      <c r="D54" s="9" t="n">
        <v>0.003475</v>
      </c>
      <c r="E54" s="8" t="n">
        <v>0.009053</v>
      </c>
      <c r="F54" s="9" t="n">
        <v>0.005727</v>
      </c>
      <c r="G54" s="9" t="n">
        <v>0.007936</v>
      </c>
      <c r="I54" s="8" t="n">
        <v>0.003972</v>
      </c>
      <c r="J54" s="9" t="n">
        <v>0.006481</v>
      </c>
      <c r="K54" s="9" t="n">
        <v>0.008426</v>
      </c>
      <c r="M54" s="8" t="n">
        <v>0.002457</v>
      </c>
      <c r="N54" s="9" t="n">
        <v>0.003446</v>
      </c>
      <c r="O54" s="9" t="n">
        <v>0.00685</v>
      </c>
    </row>
    <row r="55" customFormat="false" ht="13.8" hidden="false" customHeight="false" outlineLevel="0" collapsed="false">
      <c r="A55" s="3" t="n">
        <v>24</v>
      </c>
      <c r="B55" s="11" t="n">
        <v>0.002152158</v>
      </c>
      <c r="C55" s="12" t="n">
        <v>0.001288582</v>
      </c>
      <c r="D55" s="12" t="n">
        <v>0.000904871</v>
      </c>
      <c r="E55" s="11" t="n">
        <v>0.004581387</v>
      </c>
      <c r="F55" s="12" t="n">
        <v>0.002387969</v>
      </c>
      <c r="G55" s="12" t="n">
        <v>0.002724109</v>
      </c>
      <c r="I55" s="11" t="n">
        <v>0.004215735</v>
      </c>
      <c r="J55" s="12" t="n">
        <v>0.002649618</v>
      </c>
      <c r="K55" s="12" t="n">
        <v>0.00289946</v>
      </c>
      <c r="M55" s="11" t="n">
        <v>0.001145347</v>
      </c>
      <c r="N55" s="12" t="n">
        <v>0.000956465</v>
      </c>
      <c r="O55" s="12" t="n">
        <v>0</v>
      </c>
    </row>
    <row r="58" customFormat="false" ht="13.8" hidden="false" customHeight="false" outlineLevel="0" collapsed="false">
      <c r="A58" s="1"/>
      <c r="B58" s="35" t="s">
        <v>58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</row>
    <row r="59" customFormat="false" ht="13.8" hidden="false" customHeight="false" outlineLevel="0" collapsed="false">
      <c r="A59" s="15" t="s">
        <v>10</v>
      </c>
      <c r="B59" s="22" t="s">
        <v>31</v>
      </c>
      <c r="C59" s="22" t="s">
        <v>32</v>
      </c>
      <c r="D59" s="22" t="s">
        <v>32</v>
      </c>
      <c r="E59" s="22" t="s">
        <v>33</v>
      </c>
      <c r="F59" s="22" t="s">
        <v>34</v>
      </c>
      <c r="G59" s="22" t="s">
        <v>35</v>
      </c>
      <c r="H59" s="22" t="s">
        <v>45</v>
      </c>
      <c r="I59" s="22" t="s">
        <v>46</v>
      </c>
      <c r="J59" s="22" t="s">
        <v>47</v>
      </c>
      <c r="K59" s="1" t="s">
        <v>48</v>
      </c>
      <c r="L59" s="22" t="s">
        <v>36</v>
      </c>
      <c r="M59" s="22" t="s">
        <v>37</v>
      </c>
      <c r="N59" s="22" t="s">
        <v>38</v>
      </c>
      <c r="O59" s="22" t="s">
        <v>49</v>
      </c>
      <c r="P59" s="22" t="s">
        <v>50</v>
      </c>
      <c r="Q59" s="22" t="s">
        <v>51</v>
      </c>
      <c r="R59" s="1" t="s">
        <v>52</v>
      </c>
      <c r="S59" s="22" t="s">
        <v>39</v>
      </c>
      <c r="T59" s="22" t="s">
        <v>40</v>
      </c>
      <c r="U59" s="22" t="s">
        <v>41</v>
      </c>
      <c r="V59" s="22" t="s">
        <v>53</v>
      </c>
      <c r="W59" s="22" t="s">
        <v>54</v>
      </c>
      <c r="X59" s="22" t="s">
        <v>55</v>
      </c>
      <c r="Y59" s="1" t="s">
        <v>56</v>
      </c>
    </row>
    <row r="60" customFormat="false" ht="13.8" hidden="false" customHeight="false" outlineLevel="0" collapsed="false">
      <c r="A60" s="15" t="n">
        <v>2</v>
      </c>
      <c r="B60" s="5" t="n">
        <v>3.74E-006</v>
      </c>
      <c r="C60" s="6" t="n">
        <v>2.21E-006</v>
      </c>
      <c r="D60" s="6" t="n">
        <v>5.08E-007</v>
      </c>
      <c r="E60" s="5" t="n">
        <v>1.85E-005</v>
      </c>
      <c r="F60" s="6" t="n">
        <v>4.56E-005</v>
      </c>
      <c r="G60" s="6" t="n">
        <v>6.73E-006</v>
      </c>
      <c r="H60" s="6" t="n">
        <v>8.58E-006</v>
      </c>
      <c r="I60" s="6"/>
      <c r="J60" s="6"/>
      <c r="K60" s="7"/>
      <c r="L60" s="5" t="n">
        <v>4.82E-005</v>
      </c>
      <c r="M60" s="6" t="n">
        <v>0.000103</v>
      </c>
      <c r="N60" s="6" t="n">
        <v>8.12E-006</v>
      </c>
      <c r="O60" s="6" t="n">
        <v>1.62E-005</v>
      </c>
      <c r="P60" s="6"/>
      <c r="Q60" s="6"/>
      <c r="R60" s="7"/>
      <c r="S60" s="5" t="n">
        <v>3.34E-006</v>
      </c>
      <c r="T60" s="6" t="n">
        <v>7.47E-006</v>
      </c>
      <c r="U60" s="6" t="n">
        <v>8.13E-007</v>
      </c>
      <c r="V60" s="6" t="n">
        <v>5.58504E-006</v>
      </c>
      <c r="W60" s="6"/>
      <c r="X60" s="6"/>
      <c r="Y60" s="7"/>
    </row>
    <row r="61" customFormat="false" ht="13.8" hidden="false" customHeight="false" outlineLevel="0" collapsed="false">
      <c r="A61" s="15" t="n">
        <v>3</v>
      </c>
      <c r="B61" s="8" t="n">
        <v>1.85E-005</v>
      </c>
      <c r="C61" s="9" t="n">
        <v>3.23E-006</v>
      </c>
      <c r="D61" s="9" t="n">
        <v>4.38E-006</v>
      </c>
      <c r="E61" s="8" t="n">
        <v>0.000296</v>
      </c>
      <c r="F61" s="9" t="n">
        <v>5.03E-005</v>
      </c>
      <c r="G61" s="9" t="n">
        <v>6.1E-005</v>
      </c>
      <c r="H61" s="9" t="n">
        <v>2.25E-005</v>
      </c>
      <c r="I61" s="9"/>
      <c r="J61" s="9"/>
      <c r="K61" s="10"/>
      <c r="L61" s="8" t="n">
        <v>0.000322</v>
      </c>
      <c r="M61" s="9" t="n">
        <v>6.32E-005</v>
      </c>
      <c r="N61" s="9" t="n">
        <v>5.66E-005</v>
      </c>
      <c r="O61" s="9" t="n">
        <v>1.65823E-005</v>
      </c>
      <c r="P61" s="9"/>
      <c r="Q61" s="9"/>
      <c r="R61" s="10"/>
      <c r="S61" s="8" t="n">
        <v>1.74E-005</v>
      </c>
      <c r="T61" s="9" t="n">
        <v>1.05E-006</v>
      </c>
      <c r="U61" s="9" t="n">
        <v>2.13E-006</v>
      </c>
      <c r="V61" s="9" t="n">
        <v>2.3E-006</v>
      </c>
      <c r="W61" s="9"/>
      <c r="X61" s="9"/>
      <c r="Y61" s="10"/>
    </row>
    <row r="62" customFormat="false" ht="13.8" hidden="false" customHeight="false" outlineLevel="0" collapsed="false">
      <c r="A62" s="15" t="n">
        <v>4</v>
      </c>
      <c r="B62" s="8" t="n">
        <v>1.03E-005</v>
      </c>
      <c r="C62" s="9" t="n">
        <v>6.11E-006</v>
      </c>
      <c r="D62" s="9" t="n">
        <v>6.7E-006</v>
      </c>
      <c r="E62" s="8" t="n">
        <v>0.000129</v>
      </c>
      <c r="F62" s="9" t="n">
        <v>6.5E-005</v>
      </c>
      <c r="G62" s="9" t="n">
        <v>3.39E-005</v>
      </c>
      <c r="H62" s="9" t="n">
        <v>1.59E-005</v>
      </c>
      <c r="I62" s="9" t="n">
        <v>9.59E-006</v>
      </c>
      <c r="J62" s="9" t="n">
        <v>7.12E-006</v>
      </c>
      <c r="K62" s="10" t="n">
        <v>4.03E-006</v>
      </c>
      <c r="L62" s="8" t="n">
        <v>0.000234</v>
      </c>
      <c r="M62" s="36" t="n">
        <v>0.00075</v>
      </c>
      <c r="N62" s="9" t="n">
        <v>0.000263</v>
      </c>
      <c r="O62" s="9" t="n">
        <v>2.88714E-005</v>
      </c>
      <c r="P62" s="9" t="n">
        <v>1.04E-005</v>
      </c>
      <c r="Q62" s="9" t="n">
        <v>1.09E-005</v>
      </c>
      <c r="R62" s="10" t="n">
        <v>5.14E-006</v>
      </c>
      <c r="S62" s="8" t="n">
        <v>2.22E-005</v>
      </c>
      <c r="T62" s="9" t="n">
        <v>2.27E-005</v>
      </c>
      <c r="U62" s="9" t="n">
        <v>7.68E-006</v>
      </c>
      <c r="V62" s="9" t="n">
        <v>2.93E-006</v>
      </c>
      <c r="W62" s="9" t="n">
        <v>5.94E-006</v>
      </c>
      <c r="X62" s="9" t="n">
        <v>4.6E-006</v>
      </c>
      <c r="Y62" s="10" t="n">
        <v>3.63E-006</v>
      </c>
    </row>
    <row r="63" customFormat="false" ht="13.8" hidden="false" customHeight="false" outlineLevel="0" collapsed="false">
      <c r="A63" s="15" t="n">
        <v>6</v>
      </c>
      <c r="B63" s="8" t="n">
        <v>7.36E-007</v>
      </c>
      <c r="C63" s="9" t="n">
        <v>2.41E-006</v>
      </c>
      <c r="D63" s="9" t="n">
        <v>7.6E-006</v>
      </c>
      <c r="E63" s="8" t="n">
        <v>1.05E-005</v>
      </c>
      <c r="F63" s="9" t="n">
        <v>1.58E-005</v>
      </c>
      <c r="G63" s="9" t="n">
        <v>1.63E-005</v>
      </c>
      <c r="L63" s="8" t="n">
        <v>2.64E-005</v>
      </c>
      <c r="M63" s="9" t="n">
        <v>2.52E-005</v>
      </c>
      <c r="N63" s="9" t="n">
        <v>4.81E-005</v>
      </c>
      <c r="O63" s="8"/>
      <c r="P63" s="9"/>
      <c r="Q63" s="9"/>
      <c r="S63" s="8" t="n">
        <v>2.44E-006</v>
      </c>
      <c r="T63" s="9" t="n">
        <v>6.48E-007</v>
      </c>
      <c r="U63" s="9" t="n">
        <v>1.17E-006</v>
      </c>
    </row>
    <row r="64" customFormat="false" ht="13.8" hidden="false" customHeight="false" outlineLevel="0" collapsed="false">
      <c r="A64" s="15" t="n">
        <v>8</v>
      </c>
      <c r="B64" s="8" t="n">
        <v>8.11E-007</v>
      </c>
      <c r="C64" s="9" t="n">
        <v>2.93E-007</v>
      </c>
      <c r="D64" s="9" t="n">
        <v>2.47E-007</v>
      </c>
      <c r="E64" s="8" t="n">
        <v>2.28E-005</v>
      </c>
      <c r="F64" s="9" t="n">
        <v>2.54E-006</v>
      </c>
      <c r="G64" s="9" t="n">
        <v>3.71E-006</v>
      </c>
      <c r="L64" s="8" t="n">
        <v>2.67E-005</v>
      </c>
      <c r="M64" s="9" t="n">
        <v>1.33E-005</v>
      </c>
      <c r="N64" s="9" t="n">
        <v>2.68E-005</v>
      </c>
      <c r="O64" s="8"/>
      <c r="P64" s="9"/>
      <c r="Q64" s="9"/>
      <c r="S64" s="8" t="n">
        <v>1.06E-006</v>
      </c>
      <c r="T64" s="9" t="n">
        <v>2.36E-007</v>
      </c>
      <c r="U64" s="9" t="n">
        <v>1.02E-006</v>
      </c>
    </row>
    <row r="65" customFormat="false" ht="13.8" hidden="false" customHeight="false" outlineLevel="0" collapsed="false">
      <c r="A65" s="15" t="n">
        <v>24</v>
      </c>
      <c r="B65" s="11" t="n">
        <v>8.95999E-007</v>
      </c>
      <c r="C65" s="12" t="n">
        <v>1.1905E-006</v>
      </c>
      <c r="D65" s="12" t="n">
        <v>2.62364E-006</v>
      </c>
      <c r="E65" s="11" t="n">
        <v>6.55033E-006</v>
      </c>
      <c r="F65" s="12" t="n">
        <v>4.26211E-006</v>
      </c>
      <c r="G65" s="12" t="n">
        <v>9.19958E-006</v>
      </c>
      <c r="L65" s="11" t="n">
        <v>1.10929E-005</v>
      </c>
      <c r="M65" s="12" t="n">
        <v>5.10379E-006</v>
      </c>
      <c r="N65" s="12" t="n">
        <v>2.14301E-005</v>
      </c>
      <c r="O65" s="11"/>
      <c r="P65" s="12"/>
      <c r="Q65" s="12"/>
      <c r="S65" s="11" t="n">
        <v>8.24487E-007</v>
      </c>
      <c r="T65" s="12" t="n">
        <v>1.97725E-007</v>
      </c>
      <c r="U65" s="12" t="n">
        <v>0</v>
      </c>
    </row>
    <row r="66" customFormat="false" ht="13.8" hidden="false" customHeight="false" outlineLevel="0" collapsed="false">
      <c r="A66" s="1"/>
    </row>
    <row r="67" customFormat="false" ht="13.8" hidden="false" customHeight="false" outlineLevel="0" collapsed="false">
      <c r="A67" s="1"/>
      <c r="B67" s="35" t="s">
        <v>59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</row>
    <row r="68" customFormat="false" ht="13.8" hidden="false" customHeight="false" outlineLevel="0" collapsed="false">
      <c r="A68" s="3" t="s">
        <v>10</v>
      </c>
      <c r="B68" s="22" t="s">
        <v>31</v>
      </c>
      <c r="C68" s="22" t="s">
        <v>32</v>
      </c>
      <c r="D68" s="22" t="s">
        <v>32</v>
      </c>
      <c r="E68" s="22" t="s">
        <v>33</v>
      </c>
      <c r="F68" s="22" t="s">
        <v>34</v>
      </c>
      <c r="G68" s="22" t="s">
        <v>35</v>
      </c>
      <c r="H68" s="1" t="s">
        <v>45</v>
      </c>
      <c r="I68" s="22" t="s">
        <v>46</v>
      </c>
      <c r="J68" s="22" t="s">
        <v>47</v>
      </c>
      <c r="K68" s="1" t="s">
        <v>48</v>
      </c>
      <c r="L68" s="22" t="s">
        <v>36</v>
      </c>
      <c r="M68" s="22" t="s">
        <v>37</v>
      </c>
      <c r="N68" s="22" t="s">
        <v>38</v>
      </c>
      <c r="O68" s="1" t="s">
        <v>49</v>
      </c>
      <c r="P68" s="22" t="s">
        <v>50</v>
      </c>
      <c r="Q68" s="22" t="s">
        <v>51</v>
      </c>
      <c r="R68" s="1" t="s">
        <v>52</v>
      </c>
      <c r="S68" s="22" t="s">
        <v>39</v>
      </c>
      <c r="T68" s="22" t="s">
        <v>40</v>
      </c>
      <c r="U68" s="22" t="s">
        <v>41</v>
      </c>
      <c r="V68" s="22" t="s">
        <v>53</v>
      </c>
      <c r="W68" s="22" t="s">
        <v>54</v>
      </c>
      <c r="X68" s="22" t="s">
        <v>55</v>
      </c>
      <c r="Y68" s="1" t="s">
        <v>56</v>
      </c>
    </row>
    <row r="69" customFormat="false" ht="13.8" hidden="false" customHeight="false" outlineLevel="0" collapsed="false">
      <c r="A69" s="3" t="n">
        <v>2</v>
      </c>
      <c r="B69" s="5" t="n">
        <v>0.000523</v>
      </c>
      <c r="C69" s="6" t="n">
        <v>0.00162</v>
      </c>
      <c r="D69" s="6" t="n">
        <v>0.000681</v>
      </c>
      <c r="E69" s="5" t="n">
        <v>0.000956</v>
      </c>
      <c r="F69" s="6" t="n">
        <v>0.003023</v>
      </c>
      <c r="G69" s="6" t="n">
        <v>0.00113</v>
      </c>
      <c r="H69" s="6" t="n">
        <v>0.003285</v>
      </c>
      <c r="L69" s="5" t="n">
        <v>0.001575</v>
      </c>
      <c r="M69" s="6" t="n">
        <v>0.004304</v>
      </c>
      <c r="N69" s="6" t="n">
        <v>0.002705</v>
      </c>
      <c r="O69" s="6" t="n">
        <v>0.004979</v>
      </c>
      <c r="S69" s="5" t="n">
        <v>0.00052</v>
      </c>
      <c r="T69" s="6" t="n">
        <v>0.001874</v>
      </c>
      <c r="U69" s="6" t="n">
        <v>0.000793</v>
      </c>
      <c r="V69" s="6" t="n">
        <v>0.00182233</v>
      </c>
      <c r="W69" s="6"/>
      <c r="X69" s="6"/>
      <c r="Y69" s="7"/>
    </row>
    <row r="70" customFormat="false" ht="13.8" hidden="false" customHeight="false" outlineLevel="0" collapsed="false">
      <c r="A70" s="3" t="n">
        <v>3</v>
      </c>
      <c r="B70" s="8" t="n">
        <v>0.001069</v>
      </c>
      <c r="C70" s="9" t="n">
        <v>0.000565</v>
      </c>
      <c r="D70" s="9" t="n">
        <v>0.000162</v>
      </c>
      <c r="E70" s="8" t="n">
        <v>0.004979</v>
      </c>
      <c r="F70" s="9" t="n">
        <v>0.004809</v>
      </c>
      <c r="G70" s="9" t="n">
        <v>0.001371</v>
      </c>
      <c r="H70" s="9" t="n">
        <v>0.008669</v>
      </c>
      <c r="L70" s="8" t="n">
        <v>0.004979</v>
      </c>
      <c r="M70" s="9" t="n">
        <v>0.004044</v>
      </c>
      <c r="N70" s="9" t="n">
        <v>0.001631</v>
      </c>
      <c r="O70" s="9" t="n">
        <v>0.01016673</v>
      </c>
      <c r="S70" s="8" t="n">
        <v>0.000874</v>
      </c>
      <c r="T70" s="9" t="n">
        <v>0.000676</v>
      </c>
      <c r="U70" s="9" t="n">
        <v>0.00026</v>
      </c>
      <c r="V70" s="9" t="n">
        <v>0.001245</v>
      </c>
      <c r="W70" s="9"/>
      <c r="X70" s="9"/>
      <c r="Y70" s="10"/>
    </row>
    <row r="71" customFormat="false" ht="13.8" hidden="false" customHeight="false" outlineLevel="0" collapsed="false">
      <c r="A71" s="3" t="n">
        <v>4</v>
      </c>
      <c r="B71" s="8" t="n">
        <v>0.00286</v>
      </c>
      <c r="C71" s="9" t="n">
        <v>0.004187</v>
      </c>
      <c r="D71" s="9" t="n">
        <v>0.003285</v>
      </c>
      <c r="E71" s="8" t="n">
        <v>0.019237</v>
      </c>
      <c r="F71" s="9" t="n">
        <v>0.013139</v>
      </c>
      <c r="G71" s="9" t="n">
        <v>0.013888</v>
      </c>
      <c r="H71" s="9" t="n">
        <v>0.011842</v>
      </c>
      <c r="I71" s="9" t="n">
        <v>0.005448</v>
      </c>
      <c r="J71" s="9" t="n">
        <v>0.010453</v>
      </c>
      <c r="K71" s="10" t="n">
        <v>0.007759</v>
      </c>
      <c r="L71" s="8" t="n">
        <v>0.025033</v>
      </c>
      <c r="M71" s="9" t="n">
        <v>0.025559</v>
      </c>
      <c r="N71" s="9" t="n">
        <v>0.022561</v>
      </c>
      <c r="O71" s="9" t="n">
        <v>0.01388817</v>
      </c>
      <c r="P71" s="9" t="n">
        <v>0.004645</v>
      </c>
      <c r="Q71" s="9" t="n">
        <v>0.007239</v>
      </c>
      <c r="R71" s="10" t="n">
        <v>0.007442</v>
      </c>
      <c r="S71" s="8" t="n">
        <v>0.000821</v>
      </c>
      <c r="T71" s="9" t="n">
        <v>0.008315</v>
      </c>
      <c r="U71" s="9" t="n">
        <v>0.007239</v>
      </c>
      <c r="V71" s="9" t="n">
        <v>0.003044</v>
      </c>
      <c r="W71" s="9" t="n">
        <v>0.0041</v>
      </c>
      <c r="X71" s="9" t="n">
        <v>0.000924</v>
      </c>
      <c r="Y71" s="10" t="n">
        <v>0.001785</v>
      </c>
    </row>
    <row r="72" customFormat="false" ht="13.8" hidden="false" customHeight="false" outlineLevel="0" collapsed="false">
      <c r="A72" s="3" t="n">
        <v>6</v>
      </c>
      <c r="B72" s="8" t="n">
        <v>0.00135</v>
      </c>
      <c r="C72" s="9" t="n">
        <v>0.003006</v>
      </c>
      <c r="D72" s="9" t="n">
        <v>0.004412</v>
      </c>
      <c r="E72" s="8" t="n">
        <v>0.007327</v>
      </c>
      <c r="F72" s="9" t="n">
        <v>0.010127</v>
      </c>
      <c r="G72" s="9" t="n">
        <v>0.01509</v>
      </c>
      <c r="L72" s="8" t="n">
        <v>0.005083</v>
      </c>
      <c r="M72" s="9" t="n">
        <v>0.007793</v>
      </c>
      <c r="N72" s="9" t="n">
        <v>0.017941</v>
      </c>
      <c r="S72" s="8" t="n">
        <v>0.002577</v>
      </c>
      <c r="T72" s="9" t="n">
        <v>0.004729</v>
      </c>
      <c r="U72" s="9" t="n">
        <v>0.007148</v>
      </c>
    </row>
    <row r="73" customFormat="false" ht="13.8" hidden="false" customHeight="false" outlineLevel="0" collapsed="false">
      <c r="A73" s="3" t="n">
        <v>8</v>
      </c>
      <c r="B73" s="8" t="n">
        <v>0.003198</v>
      </c>
      <c r="C73" s="9" t="n">
        <v>0.003296</v>
      </c>
      <c r="D73" s="9" t="n">
        <v>0.003475</v>
      </c>
      <c r="E73" s="8" t="n">
        <v>0.009053</v>
      </c>
      <c r="F73" s="9" t="n">
        <v>0.005727</v>
      </c>
      <c r="G73" s="9" t="n">
        <v>0.007936</v>
      </c>
      <c r="L73" s="8" t="n">
        <v>0.003972</v>
      </c>
      <c r="M73" s="9" t="n">
        <v>0.006481</v>
      </c>
      <c r="N73" s="9" t="n">
        <v>0.008426</v>
      </c>
      <c r="S73" s="8" t="n">
        <v>0.002457</v>
      </c>
      <c r="T73" s="9" t="n">
        <v>0.003446</v>
      </c>
      <c r="U73" s="9" t="n">
        <v>0.00685</v>
      </c>
    </row>
    <row r="74" customFormat="false" ht="13.8" hidden="false" customHeight="false" outlineLevel="0" collapsed="false">
      <c r="A74" s="3" t="n">
        <v>24</v>
      </c>
      <c r="B74" s="11" t="n">
        <v>0.002152158</v>
      </c>
      <c r="C74" s="12" t="n">
        <v>0.001288582</v>
      </c>
      <c r="D74" s="12" t="n">
        <v>0.000904871</v>
      </c>
      <c r="E74" s="11" t="n">
        <v>0.004581387</v>
      </c>
      <c r="F74" s="12" t="n">
        <v>0.002387969</v>
      </c>
      <c r="G74" s="12" t="n">
        <v>0.002724109</v>
      </c>
      <c r="L74" s="11" t="n">
        <v>0.004215735</v>
      </c>
      <c r="M74" s="12" t="n">
        <v>0.002649618</v>
      </c>
      <c r="N74" s="12" t="n">
        <v>0.00289946</v>
      </c>
      <c r="S74" s="11" t="n">
        <v>0.001145347</v>
      </c>
      <c r="T74" s="12" t="n">
        <v>0.000956465</v>
      </c>
      <c r="U74" s="12" t="n">
        <v>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429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2023-05-15T06:55:56Z</dcterms:created>
  <dc:creator>Laia Reverte Salisa</dc:creator>
  <dc:description/>
  <dc:language>en-US</dc:language>
  <cp:lastModifiedBy/>
  <dcterms:modified xsi:type="dcterms:W3CDTF">2026-04-20T14:11:54Z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